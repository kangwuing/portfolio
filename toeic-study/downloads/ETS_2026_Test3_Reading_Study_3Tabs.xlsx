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f0ab6eb0404d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On_nhanh" sheetId="1" r:id="R8e896c3fe0af4637"/>
    <x:sheet xmlns:r="http://schemas.openxmlformats.org/officeDocument/2006/relationships" name="01_Tu_vung_B1+" sheetId="2" r:id="R848477ca54e34ad4"/>
    <x:sheet xmlns:r="http://schemas.openxmlformats.org/officeDocument/2006/relationships" name="02_Cau_truc" sheetId="3" r:id="Rfc47819d21c342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1">
    <x:font>
      <x:sz val="11"/>
      <x:name val="Carlito"/>
    </x:font>
    <x:font>
      <x:b/>
      <x:sz val="15"/>
      <x:color rgb="FFFFFFFF"/>
      <x:name val="Carlito"/>
    </x:font>
    <x:font>
      <x:i/>
      <x:sz val="10"/>
      <x:color rgb="FF1F1F1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b/>
      <x:sz val="13"/>
      <x:color rgb="FFFFFFFF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2"/>
      <x:color rgb="FFFFFFFF"/>
      <x:name val="Carlito"/>
    </x:font>
    <x:font>
      <x:b/>
      <x:sz val="11"/>
      <x:color rgb="FF7F6000"/>
      <x:name val="Carlito"/>
    </x:font>
  </x:fonts>
  <x:fills count="2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03864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  <x:fill>
      <x:patternFill patternType="solid">
        <x:fgColor rgb="FFD9EAD3"/>
      </x:patternFill>
    </x:fill>
    <x:fill>
      <x:patternFill patternType="solid">
        <x:fgColor rgb="FFCFE2F3"/>
      </x:patternFill>
    </x:fill>
    <x:fill>
      <x:patternFill patternType="solid">
        <x:fgColor rgb="FFF4CCCC"/>
      </x:patternFill>
    </x:fill>
    <x:fill>
      <x:patternFill patternType="solid">
        <x:fgColor rgb="FFD9D2E9"/>
      </x:patternFill>
    </x:fill>
    <x:fill>
      <x:patternFill patternType="solid">
        <x:fgColor rgb="FFFCE5CD"/>
      </x:patternFill>
    </x:fill>
    <x:fill>
      <x:patternFill patternType="solid">
        <x:fgColor rgb="FFEAD1DC"/>
      </x:patternFill>
    </x:fill>
    <x:fill>
      <x:patternFill patternType="solid">
        <x:fgColor rgb="FFD0E0E3"/>
      </x:patternFill>
    </x:fill>
    <x:fill>
      <x:patternFill patternType="solid">
        <x:fgColor rgb="FFC6E0B4"/>
      </x:patternFill>
    </x:fill>
    <x:fill>
      <x:patternFill patternType="solid">
        <x:fgColor rgb="FFE6E6E6"/>
      </x:patternFill>
    </x:fill>
    <x:fill>
      <x:patternFill patternType="solid">
        <x:fgColor rgb="FFF9CB9C"/>
      </x:patternFill>
    </x:fill>
    <x:fill>
      <x:patternFill patternType="solid">
        <x:fgColor rgb="FF548235"/>
      </x:patternFill>
    </x:fill>
    <x:fill>
      <x:patternFill patternType="solid">
        <x:fgColor rgb="FF70AD47"/>
      </x:patternFill>
    </x:fill>
    <x:fill>
      <x:patternFill patternType="solid">
        <x:fgColor rgb="FF5B9BD5"/>
      </x:patternFill>
    </x:fill>
    <x:fill>
      <x:patternFill patternType="solid">
        <x:fgColor rgb="FF7030A0"/>
      </x:patternFill>
    </x:fill>
  </x:fills>
  <x:borders count="2">
    <x:border/>
    <x:border/>
  </x:borders>
  <x:cellStyleXfs count="1">
    <x:xf numFmtId="0" fontId="0" fillId="0" borderId="0"/>
  </x:cellStyleXfs>
  <x:cellXfs count="3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4" fillId="8" borderId="0" xfId="0" applyNumberFormat="1" applyFont="1" applyFill="1" applyBorder="1"/>
    <x:xf numFmtId="0" fontId="4" fillId="8" borderId="1" xfId="0" applyNumberFormat="1" applyFont="1" applyFill="1" applyBorder="1"/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4" fillId="9" borderId="0" xfId="0" applyNumberFormat="1" applyFont="1" applyFill="1" applyBorder="1"/>
    <x:xf numFmtId="0" fontId="4" fillId="9" borderId="1" xfId="0" applyNumberFormat="1" applyFont="1" applyFill="1" applyBorder="1"/>
    <x:xf numFmtId="0" fontId="0" fillId="10" borderId="0" xfId="0" applyNumberFormat="1" applyFont="1" applyFill="1" applyBorder="1"/>
    <x:xf numFmtId="0" fontId="0" fillId="10" borderId="1" xfId="0" applyNumberFormat="1" applyFont="1" applyFill="1" applyBorder="1"/>
    <x:xf numFmtId="0" fontId="4" fillId="10" borderId="0" xfId="0" applyNumberFormat="1" applyFont="1" applyFill="1" applyBorder="1"/>
    <x:xf numFmtId="0" fontId="4" fillId="10" borderId="1" xfId="0" applyNumberFormat="1" applyFont="1" applyFill="1" applyBorder="1"/>
    <x:xf numFmtId="0" fontId="0" fillId="11" borderId="0" xfId="0" applyNumberFormat="1" applyFont="1" applyFill="1" applyBorder="1"/>
    <x:xf numFmtId="0" fontId="0" fillId="11" borderId="1" xfId="0" applyNumberFormat="1" applyFont="1" applyFill="1" applyBorder="1"/>
    <x:xf numFmtId="0" fontId="4" fillId="11" borderId="0" xfId="0" applyNumberFormat="1" applyFont="1" applyFill="1" applyBorder="1"/>
    <x:xf numFmtId="0" fontId="4" fillId="11" borderId="1" xfId="0" applyNumberFormat="1" applyFont="1" applyFill="1" applyBorder="1"/>
    <x:xf numFmtId="0" fontId="0" fillId="12" borderId="0" xfId="0" applyNumberFormat="1" applyFont="1" applyFill="1" applyBorder="1"/>
    <x:xf numFmtId="0" fontId="0" fillId="12" borderId="1" xfId="0" applyNumberFormat="1" applyFont="1" applyFill="1" applyBorder="1"/>
    <x:xf numFmtId="0" fontId="4" fillId="12" borderId="0" xfId="0" applyNumberFormat="1" applyFont="1" applyFill="1" applyBorder="1"/>
    <x:xf numFmtId="0" fontId="4" fillId="12" borderId="1" xfId="0" applyNumberFormat="1" applyFont="1" applyFill="1" applyBorder="1"/>
    <x:xf numFmtId="0" fontId="0" fillId="13" borderId="0" xfId="0" applyNumberFormat="1" applyFont="1" applyFill="1" applyBorder="1"/>
    <x:xf numFmtId="0" fontId="0" fillId="13" borderId="1" xfId="0" applyNumberFormat="1" applyFont="1" applyFill="1" applyBorder="1"/>
    <x:xf numFmtId="0" fontId="4" fillId="13" borderId="0" xfId="0" applyNumberFormat="1" applyFont="1" applyFill="1" applyBorder="1"/>
    <x:xf numFmtId="0" fontId="4" fillId="13" borderId="1" xfId="0" applyNumberFormat="1" applyFont="1" applyFill="1" applyBorder="1"/>
    <x:xf numFmtId="0" fontId="0" fillId="14" borderId="0" xfId="0" applyNumberFormat="1" applyFont="1" applyFill="1" applyBorder="1"/>
    <x:xf numFmtId="0" fontId="0" fillId="14" borderId="1" xfId="0" applyNumberFormat="1" applyFont="1" applyFill="1" applyBorder="1"/>
    <x:xf numFmtId="0" fontId="4" fillId="14" borderId="0" xfId="0" applyNumberFormat="1" applyFont="1" applyFill="1" applyBorder="1"/>
    <x:xf numFmtId="0" fontId="4" fillId="14" borderId="1" xfId="0" applyNumberFormat="1" applyFont="1" applyFill="1" applyBorder="1"/>
    <x:xf numFmtId="0" fontId="0" fillId="15" borderId="0" xfId="0" applyNumberFormat="1" applyFont="1" applyFill="1" applyBorder="1"/>
    <x:xf numFmtId="0" fontId="0" fillId="15" borderId="1" xfId="0" applyNumberFormat="1" applyFont="1" applyFill="1" applyBorder="1"/>
    <x:xf numFmtId="0" fontId="4" fillId="15" borderId="0" xfId="0" applyNumberFormat="1" applyFont="1" applyFill="1" applyBorder="1"/>
    <x:xf numFmtId="0" fontId="4" fillId="15" borderId="1" xfId="0" applyNumberFormat="1" applyFont="1" applyFill="1" applyBorder="1"/>
    <x:xf numFmtId="0" fontId="0" fillId="16" borderId="0" xfId="0" applyNumberFormat="1" applyFont="1" applyFill="1" applyBorder="1"/>
    <x:xf numFmtId="0" fontId="0" fillId="16" borderId="1" xfId="0" applyNumberFormat="1" applyFont="1" applyFill="1" applyBorder="1"/>
    <x:xf numFmtId="0" fontId="4" fillId="16" borderId="0" xfId="0" applyNumberFormat="1" applyFont="1" applyFill="1" applyBorder="1"/>
    <x:xf numFmtId="0" fontId="4" fillId="16" borderId="1" xfId="0" applyNumberFormat="1" applyFont="1" applyFill="1" applyBorder="1"/>
    <x:xf numFmtId="0" fontId="0" fillId="17" borderId="0" xfId="0" applyNumberFormat="1" applyFont="1" applyFill="1" applyBorder="1"/>
    <x:xf numFmtId="0" fontId="0" fillId="17" borderId="1" xfId="0" applyNumberFormat="1" applyFont="1" applyFill="1" applyBorder="1"/>
    <x:xf numFmtId="0" fontId="4" fillId="17" borderId="0" xfId="0" applyNumberFormat="1" applyFont="1" applyFill="1" applyBorder="1"/>
    <x:xf numFmtId="0" fontId="4" fillId="17" borderId="1" xfId="0" applyNumberFormat="1" applyFont="1" applyFill="1" applyBorder="1"/>
    <x:xf numFmtId="0" fontId="0" fillId="18" borderId="0" xfId="0" applyNumberFormat="1" applyFont="1" applyFill="1" applyBorder="1"/>
    <x:xf numFmtId="0" fontId="0" fillId="18" borderId="1" xfId="0" applyNumberFormat="1" applyFont="1" applyFill="1" applyBorder="1"/>
    <x:xf numFmtId="0" fontId="4" fillId="18" borderId="0" xfId="0" applyNumberFormat="1" applyFont="1" applyFill="1" applyBorder="1"/>
    <x:xf numFmtId="0" fontId="4" fillId="18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wrapText="1"/>
    </x:xf>
    <x:xf numFmtId="0" fontId="4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4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  <x:xf numFmtId="0" fontId="4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wrapText="1"/>
    </x:xf>
    <x:xf numFmtId="0" fontId="4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wrapText="1"/>
    </x:xf>
    <x:xf numFmtId="0" fontId="4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 applyAlignment="1">
      <x:alignment wrapText="1"/>
    </x:xf>
    <x:xf numFmtId="0" fontId="4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 applyAlignment="1">
      <x:alignment wrapText="1"/>
    </x:xf>
    <x:xf numFmtId="0" fontId="4" fillId="18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4" fillId="9" borderId="1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wrapText="1"/>
    </x:xf>
    <x:xf numFmtId="0" fontId="4" fillId="10" borderId="1" xfId="0" applyNumberFormat="1" applyFont="1" applyFill="1" applyBorder="1" applyAlignment="1">
      <x:alignment wrapText="1"/>
    </x:xf>
    <x:xf numFmtId="0" fontId="0" fillId="11" borderId="1" xfId="0" applyNumberFormat="1" applyFont="1" applyFill="1" applyBorder="1" applyAlignment="1">
      <x:alignment wrapText="1"/>
    </x:xf>
    <x:xf numFmtId="0" fontId="4" fillId="11" borderId="1" xfId="0" applyNumberFormat="1" applyFont="1" applyFill="1" applyBorder="1" applyAlignment="1">
      <x:alignment wrapText="1"/>
    </x:xf>
    <x:xf numFmtId="0" fontId="0" fillId="12" borderId="1" xfId="0" applyNumberFormat="1" applyFont="1" applyFill="1" applyBorder="1" applyAlignment="1">
      <x:alignment wrapText="1"/>
    </x:xf>
    <x:xf numFmtId="0" fontId="4" fillId="12" borderId="1" xfId="0" applyNumberFormat="1" applyFont="1" applyFill="1" applyBorder="1" applyAlignment="1">
      <x:alignment wrapText="1"/>
    </x:xf>
    <x:xf numFmtId="0" fontId="0" fillId="13" borderId="1" xfId="0" applyNumberFormat="1" applyFont="1" applyFill="1" applyBorder="1" applyAlignment="1">
      <x:alignment wrapText="1"/>
    </x:xf>
    <x:xf numFmtId="0" fontId="4" fillId="13" borderId="1" xfId="0" applyNumberFormat="1" applyFont="1" applyFill="1" applyBorder="1" applyAlignment="1">
      <x:alignment wrapText="1"/>
    </x:xf>
    <x:xf numFmtId="0" fontId="0" fillId="14" borderId="1" xfId="0" applyNumberFormat="1" applyFont="1" applyFill="1" applyBorder="1" applyAlignment="1">
      <x:alignment wrapText="1"/>
    </x:xf>
    <x:xf numFmtId="0" fontId="4" fillId="14" borderId="1" xfId="0" applyNumberFormat="1" applyFont="1" applyFill="1" applyBorder="1" applyAlignment="1">
      <x:alignment wrapText="1"/>
    </x:xf>
    <x:xf numFmtId="0" fontId="0" fillId="15" borderId="1" xfId="0" applyNumberFormat="1" applyFont="1" applyFill="1" applyBorder="1" applyAlignment="1">
      <x:alignment wrapText="1"/>
    </x:xf>
    <x:xf numFmtId="0" fontId="4" fillId="15" borderId="1" xfId="0" applyNumberFormat="1" applyFont="1" applyFill="1" applyBorder="1" applyAlignment="1">
      <x:alignment wrapText="1"/>
    </x:xf>
    <x:xf numFmtId="0" fontId="0" fillId="16" borderId="1" xfId="0" applyNumberFormat="1" applyFont="1" applyFill="1" applyBorder="1" applyAlignment="1">
      <x:alignment wrapText="1"/>
    </x:xf>
    <x:xf numFmtId="0" fontId="4" fillId="16" borderId="1" xfId="0" applyNumberFormat="1" applyFont="1" applyFill="1" applyBorder="1" applyAlignment="1">
      <x:alignment wrapText="1"/>
    </x:xf>
    <x:xf numFmtId="0" fontId="0" fillId="17" borderId="1" xfId="0" applyNumberFormat="1" applyFont="1" applyFill="1" applyBorder="1" applyAlignment="1">
      <x:alignment wrapText="1"/>
    </x:xf>
    <x:xf numFmtId="0" fontId="4" fillId="17" borderId="1" xfId="0" applyNumberFormat="1" applyFont="1" applyFill="1" applyBorder="1" applyAlignment="1">
      <x:alignment wrapText="1"/>
    </x:xf>
    <x:xf numFmtId="0" fontId="0" fillId="18" borderId="1" xfId="0" applyNumberFormat="1" applyFont="1" applyFill="1" applyBorder="1" applyAlignment="1">
      <x:alignment wrapText="1"/>
    </x:xf>
    <x:xf numFmtId="0" fontId="4" fillId="18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 applyAlignment="1">
      <x:alignment vertical="top" wrapText="1"/>
    </x:xf>
    <x:xf numFmtId="0" fontId="4" fillId="12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 applyAlignment="1">
      <x:alignment vertical="top" wrapText="1"/>
    </x:xf>
    <x:xf numFmtId="0" fontId="4" fillId="13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 applyAlignment="1">
      <x:alignment vertical="top" wrapText="1"/>
    </x:xf>
    <x:xf numFmtId="0" fontId="4" fillId="14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 applyAlignment="1">
      <x:alignment vertical="top" wrapText="1"/>
    </x:xf>
    <x:xf numFmtId="0" fontId="4" fillId="15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 applyAlignment="1">
      <x:alignment vertical="top" wrapText="1"/>
    </x:xf>
    <x:xf numFmtId="0" fontId="4" fillId="16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 applyAlignment="1">
      <x:alignment vertical="top" wrapText="1"/>
    </x:xf>
    <x:xf numFmtId="0" fontId="4" fillId="17" borderId="0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 applyAlignment="1">
      <x:alignment vertical="top" wrapText="1"/>
    </x:xf>
    <x:xf numFmtId="0" fontId="4" fillId="18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vertical="top" wrapText="1"/>
    </x:xf>
    <x:xf numFmtId="0" fontId="0" fillId="10" borderId="1" xfId="0" applyNumberFormat="1" applyFont="1" applyFill="1" applyBorder="1" applyAlignment="1">
      <x:alignment vertical="top" wrapText="1"/>
    </x:xf>
    <x:xf numFmtId="0" fontId="4" fillId="10" borderId="1" xfId="0" applyNumberFormat="1" applyFont="1" applyFill="1" applyBorder="1" applyAlignment="1">
      <x:alignment vertical="top" wrapText="1"/>
    </x:xf>
    <x:xf numFmtId="0" fontId="0" fillId="11" borderId="1" xfId="0" applyNumberFormat="1" applyFont="1" applyFill="1" applyBorder="1" applyAlignment="1">
      <x:alignment vertical="top" wrapText="1"/>
    </x:xf>
    <x:xf numFmtId="0" fontId="4" fillId="11" borderId="1" xfId="0" applyNumberFormat="1" applyFont="1" applyFill="1" applyBorder="1" applyAlignment="1">
      <x:alignment vertical="top" wrapText="1"/>
    </x:xf>
    <x:xf numFmtId="0" fontId="0" fillId="12" borderId="1" xfId="0" applyNumberFormat="1" applyFont="1" applyFill="1" applyBorder="1" applyAlignment="1">
      <x:alignment vertical="top" wrapText="1"/>
    </x:xf>
    <x:xf numFmtId="0" fontId="4" fillId="12" borderId="1" xfId="0" applyNumberFormat="1" applyFont="1" applyFill="1" applyBorder="1" applyAlignment="1">
      <x:alignment vertical="top" wrapText="1"/>
    </x:xf>
    <x:xf numFmtId="0" fontId="0" fillId="13" borderId="1" xfId="0" applyNumberFormat="1" applyFont="1" applyFill="1" applyBorder="1" applyAlignment="1">
      <x:alignment vertical="top" wrapText="1"/>
    </x:xf>
    <x:xf numFmtId="0" fontId="4" fillId="13" borderId="1" xfId="0" applyNumberFormat="1" applyFont="1" applyFill="1" applyBorder="1" applyAlignment="1">
      <x:alignment vertical="top" wrapText="1"/>
    </x:xf>
    <x:xf numFmtId="0" fontId="0" fillId="14" borderId="1" xfId="0" applyNumberFormat="1" applyFont="1" applyFill="1" applyBorder="1" applyAlignment="1">
      <x:alignment vertical="top" wrapText="1"/>
    </x:xf>
    <x:xf numFmtId="0" fontId="4" fillId="14" borderId="1" xfId="0" applyNumberFormat="1" applyFont="1" applyFill="1" applyBorder="1" applyAlignment="1">
      <x:alignment vertical="top" wrapText="1"/>
    </x:xf>
    <x:xf numFmtId="0" fontId="0" fillId="15" borderId="1" xfId="0" applyNumberFormat="1" applyFont="1" applyFill="1" applyBorder="1" applyAlignment="1">
      <x:alignment vertical="top" wrapText="1"/>
    </x:xf>
    <x:xf numFmtId="0" fontId="4" fillId="15" borderId="1" xfId="0" applyNumberFormat="1" applyFont="1" applyFill="1" applyBorder="1" applyAlignment="1">
      <x:alignment vertical="top" wrapText="1"/>
    </x:xf>
    <x:xf numFmtId="0" fontId="0" fillId="16" borderId="1" xfId="0" applyNumberFormat="1" applyFont="1" applyFill="1" applyBorder="1" applyAlignment="1">
      <x:alignment vertical="top" wrapText="1"/>
    </x:xf>
    <x:xf numFmtId="0" fontId="4" fillId="16" borderId="1" xfId="0" applyNumberFormat="1" applyFont="1" applyFill="1" applyBorder="1" applyAlignment="1">
      <x:alignment vertical="top" wrapText="1"/>
    </x:xf>
    <x:xf numFmtId="0" fontId="0" fillId="17" borderId="1" xfId="0" applyNumberFormat="1" applyFont="1" applyFill="1" applyBorder="1" applyAlignment="1">
      <x:alignment vertical="top" wrapText="1"/>
    </x:xf>
    <x:xf numFmtId="0" fontId="4" fillId="17" borderId="1" xfId="0" applyNumberFormat="1" applyFont="1" applyFill="1" applyBorder="1" applyAlignment="1">
      <x:alignment vertical="top" wrapText="1"/>
    </x:xf>
    <x:xf numFmtId="0" fontId="0" fillId="18" borderId="1" xfId="0" applyNumberFormat="1" applyFont="1" applyFill="1" applyBorder="1" applyAlignment="1">
      <x:alignment vertical="top" wrapText="1"/>
    </x:xf>
    <x:xf numFmtId="0" fontId="4" fillId="18" borderId="1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18" borderId="0" xfId="0" applyNumberFormat="1" applyFont="1" applyFill="1" applyBorder="1"/>
    <x:xf numFmtId="0" fontId="5" fillId="18" borderId="1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10" borderId="0" xfId="0" applyNumberFormat="1" applyFont="1" applyFill="1" applyBorder="1"/>
    <x:xf numFmtId="0" fontId="5" fillId="10" borderId="1" xfId="0" applyNumberFormat="1" applyFont="1" applyFill="1" applyBorder="1"/>
    <x:xf numFmtId="0" fontId="5" fillId="9" borderId="0" xfId="0" applyNumberFormat="1" applyFont="1" applyFill="1" applyBorder="1"/>
    <x:xf numFmtId="0" fontId="5" fillId="9" borderId="1" xfId="0" applyNumberFormat="1" applyFont="1" applyFill="1" applyBorder="1"/>
    <x:xf numFmtId="0" fontId="5" fillId="11" borderId="0" xfId="0" applyNumberFormat="1" applyFont="1" applyFill="1" applyBorder="1"/>
    <x:xf numFmtId="0" fontId="5" fillId="11" borderId="1" xfId="0" applyNumberFormat="1" applyFont="1" applyFill="1" applyBorder="1"/>
    <x:xf numFmtId="0" fontId="5" fillId="12" borderId="0" xfId="0" applyNumberFormat="1" applyFont="1" applyFill="1" applyBorder="1"/>
    <x:xf numFmtId="0" fontId="5" fillId="12" borderId="1" xfId="0" applyNumberFormat="1" applyFont="1" applyFill="1" applyBorder="1"/>
    <x:xf numFmtId="0" fontId="5" fillId="8" borderId="0" xfId="0" applyNumberFormat="1" applyFont="1" applyFill="1" applyBorder="1"/>
    <x:xf numFmtId="0" fontId="5" fillId="8" borderId="1" xfId="0" applyNumberFormat="1" applyFont="1" applyFill="1" applyBorder="1"/>
    <x:xf numFmtId="0" fontId="0" fillId="19" borderId="0" xfId="0" applyNumberFormat="1" applyFont="1" applyFill="1" applyBorder="1"/>
    <x:xf numFmtId="0" fontId="0" fillId="19" borderId="1" xfId="0" applyNumberFormat="1" applyFont="1" applyFill="1" applyBorder="1"/>
    <x:xf numFmtId="0" fontId="5" fillId="19" borderId="0" xfId="0" applyNumberFormat="1" applyFont="1" applyFill="1" applyBorder="1"/>
    <x:xf numFmtId="0" fontId="5" fillId="19" borderId="1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18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 applyAlignment="1">
      <x:alignment wrapText="1"/>
    </x:xf>
    <x:xf numFmtId="0" fontId="5" fillId="19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5" fillId="18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5" fillId="10" borderId="1" xfId="0" applyNumberFormat="1" applyFont="1" applyFill="1" applyBorder="1" applyAlignment="1">
      <x:alignment wrapText="1"/>
    </x:xf>
    <x:xf numFmtId="0" fontId="5" fillId="9" borderId="1" xfId="0" applyNumberFormat="1" applyFont="1" applyFill="1" applyBorder="1" applyAlignment="1">
      <x:alignment wrapText="1"/>
    </x:xf>
    <x:xf numFmtId="0" fontId="5" fillId="11" borderId="1" xfId="0" applyNumberFormat="1" applyFont="1" applyFill="1" applyBorder="1" applyAlignment="1">
      <x:alignment wrapText="1"/>
    </x:xf>
    <x:xf numFmtId="0" fontId="5" fillId="12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wrapText="1"/>
    </x:xf>
    <x:xf numFmtId="0" fontId="0" fillId="19" borderId="1" xfId="0" applyNumberFormat="1" applyFont="1" applyFill="1" applyBorder="1" applyAlignment="1">
      <x:alignment wrapText="1"/>
    </x:xf>
    <x:xf numFmtId="0" fontId="5" fillId="19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18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10" borderId="0" xfId="0" applyNumberFormat="1" applyFont="1" applyFill="1" applyBorder="1" applyAlignment="1">
      <x:alignment vertical="top" wrapText="1"/>
    </x:xf>
    <x:xf numFmtId="0" fontId="5" fillId="9" borderId="0" xfId="0" applyNumberFormat="1" applyFont="1" applyFill="1" applyBorder="1" applyAlignment="1">
      <x:alignment vertical="top" wrapText="1"/>
    </x:xf>
    <x:xf numFmtId="0" fontId="5" fillId="11" borderId="0" xfId="0" applyNumberFormat="1" applyFont="1" applyFill="1" applyBorder="1" applyAlignment="1">
      <x:alignment vertical="top" wrapText="1"/>
    </x:xf>
    <x:xf numFmtId="0" fontId="5" fillId="12" borderId="0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 applyAlignment="1">
      <x:alignment vertical="top" wrapText="1"/>
    </x:xf>
    <x:xf numFmtId="0" fontId="5" fillId="19" borderId="0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18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10" borderId="1" xfId="0" applyNumberFormat="1" applyFont="1" applyFill="1" applyBorder="1" applyAlignment="1">
      <x:alignment vertical="top" wrapText="1"/>
    </x:xf>
    <x:xf numFmtId="0" fontId="5" fillId="9" borderId="1" xfId="0" applyNumberFormat="1" applyFont="1" applyFill="1" applyBorder="1" applyAlignment="1">
      <x:alignment vertical="top" wrapText="1"/>
    </x:xf>
    <x:xf numFmtId="0" fontId="5" fillId="11" borderId="1" xfId="0" applyNumberFormat="1" applyFont="1" applyFill="1" applyBorder="1" applyAlignment="1">
      <x:alignment vertical="top" wrapText="1"/>
    </x:xf>
    <x:xf numFmtId="0" fontId="5" fillId="12" borderId="1" xfId="0" applyNumberFormat="1" applyFont="1" applyFill="1" applyBorder="1" applyAlignment="1">
      <x:alignment vertical="top" wrapText="1"/>
    </x:xf>
    <x:xf numFmtId="0" fontId="5" fillId="8" borderId="1" xfId="0" applyNumberFormat="1" applyFont="1" applyFill="1" applyBorder="1" applyAlignment="1">
      <x:alignment vertical="top" wrapText="1"/>
    </x:xf>
    <x:xf numFmtId="0" fontId="0" fillId="19" borderId="1" xfId="0" applyNumberFormat="1" applyFont="1" applyFill="1" applyBorder="1" applyAlignment="1">
      <x:alignment vertical="top" wrapText="1"/>
    </x:xf>
    <x:xf numFmtId="0" fontId="5" fillId="19" borderId="1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/>
    <x:xf numFmtId="0" fontId="6" fillId="20" borderId="0" xfId="0" applyNumberFormat="1" applyFont="1" applyFill="1" applyBorder="1"/>
    <x:xf numFmtId="0" fontId="6" fillId="20" borderId="0" xfId="0" applyNumberFormat="1" applyFont="1" applyFill="1" applyBorder="1" applyAlignment="1">
      <x:alignment horizontal="center"/>
    </x:xf>
    <x:xf numFmtId="0" fontId="0" fillId="20" borderId="1" xfId="0" applyNumberFormat="1" applyFont="1" applyFill="1" applyBorder="1"/>
    <x:xf numFmtId="0" fontId="6" fillId="20" borderId="1" xfId="0" applyNumberFormat="1" applyFont="1" applyFill="1" applyBorder="1"/>
    <x:xf numFmtId="0" fontId="6" fillId="20" borderId="1" xfId="0" applyNumberFormat="1" applyFont="1" applyFill="1" applyBorder="1" applyAlignment="1">
      <x:alignment horizontal="center"/>
    </x:xf>
    <x:xf numFmtId="0" fontId="0" fillId="21" borderId="0" xfId="0" applyNumberFormat="1" applyFont="1" applyFill="1" applyBorder="1"/>
    <x:xf numFmtId="0" fontId="3" fillId="21" borderId="0" xfId="0" applyNumberFormat="1" applyFont="1" applyFill="1" applyBorder="1"/>
    <x:xf numFmtId="0" fontId="3" fillId="21" borderId="0" xfId="0" applyNumberFormat="1" applyFont="1" applyFill="1" applyBorder="1" applyAlignment="1">
      <x:alignment wrapText="1"/>
    </x:xf>
    <x:xf numFmtId="0" fontId="3" fillId="21" borderId="0" xfId="0" applyNumberFormat="1" applyFont="1" applyFill="1" applyBorder="1" applyAlignment="1">
      <x:alignment horizontal="center" wrapText="1"/>
    </x:xf>
    <x:xf numFmtId="0" fontId="0" fillId="21" borderId="1" xfId="0" applyNumberFormat="1" applyFont="1" applyFill="1" applyBorder="1"/>
    <x:xf numFmtId="0" fontId="3" fillId="21" borderId="1" xfId="0" applyNumberFormat="1" applyFont="1" applyFill="1" applyBorder="1"/>
    <x:xf numFmtId="0" fontId="3" fillId="21" borderId="1" xfId="0" applyNumberFormat="1" applyFont="1" applyFill="1" applyBorder="1" applyAlignment="1">
      <x:alignment wrapText="1"/>
    </x:xf>
    <x:xf numFmtId="0" fontId="3" fillId="21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3" fillId="22" borderId="0" xfId="0" applyNumberFormat="1" applyFont="1" applyFill="1" applyBorder="1" applyAlignment="1">
      <x:alignment horizontal="center"/>
    </x:xf>
    <x:xf numFmtId="0" fontId="0" fillId="22" borderId="1" xfId="0" applyNumberFormat="1" applyFont="1" applyFill="1" applyBorder="1"/>
    <x:xf numFmtId="0" fontId="3" fillId="22" borderId="1" xfId="0" applyNumberFormat="1" applyFont="1" applyFill="1" applyBorder="1"/>
    <x:xf numFmtId="0" fontId="3" fillId="22" borderId="1" xfId="0" applyNumberFormat="1" applyFont="1" applyFill="1" applyBorder="1" applyAlignment="1">
      <x:alignment horizontal="center"/>
    </x:xf>
    <x:xf numFmtId="0" fontId="3" fillId="20" borderId="0" xfId="0" applyNumberFormat="1" applyFont="1" applyFill="1" applyBorder="1"/>
    <x:xf numFmtId="0" fontId="3" fillId="20" borderId="0" xfId="0" applyNumberFormat="1" applyFont="1" applyFill="1" applyBorder="1" applyAlignment="1">
      <x:alignment horizontal="center"/>
    </x:xf>
    <x:xf numFmtId="0" fontId="3" fillId="20" borderId="1" xfId="0" applyNumberFormat="1" applyFont="1" applyFill="1" applyBorder="1"/>
    <x:xf numFmtId="0" fontId="3" fillId="20" borderId="1" xfId="0" applyNumberFormat="1" applyFont="1" applyFill="1" applyBorder="1" applyAlignment="1">
      <x:alignment horizontal="center"/>
    </x:xf>
    <x:xf numFmtId="0" fontId="0" fillId="23" borderId="0" xfId="0" applyNumberFormat="1" applyFont="1" applyFill="1" applyBorder="1"/>
    <x:xf numFmtId="0" fontId="9" fillId="23" borderId="0" xfId="0" applyNumberFormat="1" applyFont="1" applyFill="1" applyBorder="1"/>
    <x:xf numFmtId="0" fontId="9" fillId="23" borderId="0" xfId="0" applyNumberFormat="1" applyFont="1" applyFill="1" applyBorder="1" applyAlignment="1">
      <x:alignment horizontal="center"/>
    </x:xf>
    <x:xf numFmtId="0" fontId="0" fillId="23" borderId="1" xfId="0" applyNumberFormat="1" applyFont="1" applyFill="1" applyBorder="1"/>
    <x:xf numFmtId="0" fontId="9" fillId="23" borderId="1" xfId="0" applyNumberFormat="1" applyFont="1" applyFill="1" applyBorder="1"/>
    <x:xf numFmtId="0" fontId="9" fillId="23" borderId="1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horizontal="center" wrapText="1"/>
    </x:xf>
    <x:xf numFmtId="0" fontId="10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d0a0c016184274" /><Relationship Type="http://schemas.openxmlformats.org/officeDocument/2006/relationships/theme" Target="/xl/theme/theme1.xml" Id="R1910512f716e4ccf" /><Relationship Type="http://schemas.openxmlformats.org/officeDocument/2006/relationships/sharedStrings" Target="/xl/sharedStrings.xml" Id="R2c65ecd696374981" /><Relationship Type="http://schemas.openxmlformats.org/officeDocument/2006/relationships/worksheet" Target="/xl/worksheets/sheet1.xml" Id="R8e896c3fe0af4637" /><Relationship Type="http://schemas.openxmlformats.org/officeDocument/2006/relationships/worksheet" Target="/xl/worksheets/sheet2.xml" Id="R848477ca54e34ad4" /><Relationship Type="http://schemas.openxmlformats.org/officeDocument/2006/relationships/worksheet" Target="/xl/worksheets/sheet3.xml" Id="Rfc47819d21c342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5" hidden="0" customWidth="1"/>
    <x:col min="3" max="3" width="31" hidden="0" customWidth="1"/>
    <x:col min="4" max="4" width="12" hidden="0" customWidth="1"/>
    <x:col min="5" max="5" width="13" hidden="0" customWidth="1"/>
    <x:col min="6" max="6" width="16" hidden="0" customWidth="1"/>
    <x:col min="7" max="7" width="24" hidden="0" customWidth="1"/>
    <x:col min="8" max="8" width="4" hidden="0" customWidth="1"/>
    <x:col min="10" max="10" width="10" hidden="0" customWidth="1"/>
    <x:col min="11" max="11" width="22" hidden="0" customWidth="1"/>
    <x:col min="12" max="12" width="40" hidden="0" customWidth="1"/>
  </x:cols>
  <x:sheetData>
    <x:row r="1" ht="30" customHeight="1">
      <x:c r="A1" s="280" t="str">
        <x:v>ETS 2026 TOEIC READING – TEST 3 | ÔN NHANH</x:v>
      </x:c>
      <x:c r="B1" s="280"/>
      <x:c r="C1" s="280"/>
      <x:c r="D1" s="280"/>
      <x:c r="E1" s="280"/>
      <x:c r="F1" s="280"/>
      <x:c r="G1" s="280"/>
      <x:c r="H1" s="280"/>
    </x:row>
    <x:row r="2" ht="34" customHeight="1">
      <x:c r="A2" s="285" t="str">
        <x:v>3 tab: Ôn nhanh → Từ vựng B1+ → Cấu trúc. Từ đồng nghĩa/gần nghĩa nằm cùng nhóm màu; tiến độ được cập nhật từ hai tab chính.</x:v>
      </x:c>
      <x:c r="B2" s="285"/>
      <x:c r="C2" s="285"/>
      <x:c r="D2" s="285"/>
      <x:c r="E2" s="285"/>
      <x:c r="F2" s="285"/>
      <x:c r="G2" s="285"/>
      <x:c r="H2" s="285"/>
    </x:row>
    <x:row r="4">
      <x:c r="A4" s="292" t="str">
        <x:v>TỪ VỰNG</x:v>
      </x:c>
      <x:c r="B4" s="292" t="str"/>
      <x:c r="D4" s="292" t="str">
        <x:v>CẤU TRÚC</x:v>
      </x:c>
      <x:c r="E4" s="292" t="str"/>
      <x:c r="J4" s="297" t="str">
        <x:v>CÁCH DÙNG FILE</x:v>
      </x:c>
      <x:c r="K4" s="297"/>
      <x:c r="L4" s="297"/>
    </x:row>
    <x:row r="5">
      <x:c r="A5" t="str">
        <x:v>Tổng mục</x:v>
      </x:c>
      <x:c r="B5" t="n">
        <x:f>COUNTA('01_Tu_vung_B1+'!C5:C207)</x:f>
        <x:v>203</x:v>
      </x:c>
      <x:c r="D5" t="str">
        <x:v>Tổng mục</x:v>
      </x:c>
      <x:c r="E5" t="n">
        <x:f>COUNTA('02_Cau_truc'!C5:C47)</x:f>
        <x:v>43</x:v>
      </x:c>
      <x:c r="J5" s="276" t="str">
        <x:v>1</x:v>
      </x:c>
      <x:c r="K5" s="276" t="str">
        <x:v>00_On_nhanh</x:v>
      </x:c>
      <x:c r="L5" s="276" t="str">
        <x:v>Ôn 26 mục ưu tiên + xem tiến độ</x:v>
      </x:c>
    </x:row>
    <x:row r="6">
      <x:c r="A6" t="str">
        <x:v>Đã thuộc</x:v>
      </x:c>
      <x:c r="B6" t="n">
        <x:f>COUNTIF('01_Tu_vung_B1+'!L5:L207,"Đã thuộc")</x:f>
        <x:v>0</x:v>
      </x:c>
      <x:c r="D6" t="str">
        <x:v>Đã thuộc</x:v>
      </x:c>
      <x:c r="E6" t="n">
        <x:f>COUNTIF('02_Cau_truc'!H5:H47,"Đã thuộc")</x:f>
        <x:v>0</x:v>
      </x:c>
      <x:c r="J6" s="276" t="str">
        <x:v>2</x:v>
      </x:c>
      <x:c r="K6" s="276" t="str">
        <x:v>01_Tu_vung_B1+</x:v>
      </x:c>
      <x:c r="L6" s="276" t="str">
        <x:v>Học theo màu: từ gần nghĩa / cùng chủ đề nằm cạnh nhau</x:v>
      </x:c>
    </x:row>
    <x:row r="7">
      <x:c r="A7" t="str">
        <x:v>Đang học</x:v>
      </x:c>
      <x:c r="B7" t="n">
        <x:f>COUNTIF('01_Tu_vung_B1+'!L5:L207,"Đang học")</x:f>
        <x:v>0</x:v>
      </x:c>
      <x:c r="D7" t="str">
        <x:v>Đang học</x:v>
      </x:c>
      <x:c r="E7" t="n">
        <x:f>COUNTIF('02_Cau_truc'!H5:H47,"Đang học")</x:f>
        <x:v>0</x:v>
      </x:c>
      <x:c r="J7" s="276" t="str">
        <x:v>3</x:v>
      </x:c>
      <x:c r="K7" s="276" t="str">
        <x:v>02_Cau_truc</x:v>
      </x:c>
      <x:c r="L7" s="276" t="str">
        <x:v>Học cấu trúc theo nhóm; cheat sheet nằm bên phải</x:v>
      </x:c>
    </x:row>
    <x:row r="8">
      <x:c r="A8" t="str">
        <x:v>Tiến độ</x:v>
      </x:c>
      <x:c r="B8" s="288" t="n">
        <x:f>IF(B5=0,0,B6/B5)</x:f>
        <x:v>0</x:v>
      </x:c>
      <x:c r="D8" t="str">
        <x:v>Tiến độ</x:v>
      </x:c>
      <x:c r="E8" s="288" t="n">
        <x:f>IF(E5=0,0,E6/E5)</x:f>
        <x:v>0</x:v>
      </x:c>
      <x:c r="J8" s="276" t="str">
        <x:v>Màu</x:v>
      </x:c>
      <x:c r="K8" s="276" t="str">
        <x:v>cùng màu</x:v>
      </x:c>
      <x:c r="L8" s="276" t="str">
        <x:v>cùng nhóm nghĩa / cùng chức năng</x:v>
      </x:c>
    </x:row>
    <x:row r="9">
      <x:c r="J9" s="276" t="str">
        <x:v>CEFR</x:v>
      </x:c>
      <x:c r="K9" s="276" t="str">
        <x:v>B1/B2/C1</x:v>
      </x:c>
      <x:c r="L9" s="276" t="str">
        <x:v>mức ước lượng phục vụ học tập, không phải nhãn ETS</x:v>
      </x:c>
    </x:row>
    <x:row r="11">
      <x:c r="A11" s="302" t="str">
        <x:v>26 MỤC ƯU TIÊN – NÊN THUỘC TRƯỚC</x:v>
      </x:c>
      <x:c r="B11" s="302"/>
      <x:c r="C11" s="302"/>
      <x:c r="D11" s="302"/>
      <x:c r="E11" s="302"/>
      <x:c r="F11" s="302"/>
      <x:c r="G11" s="302"/>
      <x:c r="H11" s="302"/>
    </x:row>
    <x:row r="13">
      <x:c r="A13" s="21" t="str">
        <x:v>Loại</x:v>
      </x:c>
      <x:c r="B13" s="21" t="str">
        <x:v>Cấu trúc / Từ vựng</x:v>
      </x:c>
      <x:c r="C13" s="21" t="str">
        <x:v>Nghĩa</x:v>
      </x:c>
      <x:c r="D13" s="21" t="str">
        <x:v>Ưu tiên</x:v>
      </x:c>
      <x:c r="F13" s="309" t="str">
        <x:v>Đánh dấu “Đang học / Đã thuộc” trực tiếp ở 2 tab chính. Dashboard phía trên sẽ tự cập nhật; không cần đánh dấu lại ở danh sách ưu tiên.</x:v>
      </x:c>
      <x:c r="G13" s="309"/>
      <x:c r="H13" s="309"/>
    </x:row>
    <x:row r="14">
      <x:c r="A14" s="276" t="str">
        <x:v>Cấu trúc</x:v>
      </x:c>
      <x:c r="B14" s="276" t="str">
        <x:v>despite + N / possessive adjective + N</x:v>
      </x:c>
      <x:c r="C14" s="276" t="str">
        <x:v>mặc dù / bất chấp</x:v>
      </x:c>
      <x:c r="D14" s="276" t="str">
        <x:v>Rất cao</x:v>
      </x:c>
      <x:c r="F14" s="309"/>
      <x:c r="G14" s="309"/>
      <x:c r="H14" s="309"/>
    </x:row>
    <x:row r="15">
      <x:c r="A15" s="276" t="str">
        <x:v>Cấu trúc</x:v>
      </x:c>
      <x:c r="B15" s="276" t="str">
        <x:v>be promoted to + position</x:v>
      </x:c>
      <x:c r="C15" s="276" t="str">
        <x:v>được thăng chức lên vị trí</x:v>
      </x:c>
      <x:c r="D15" s="276" t="str">
        <x:v>Rất cao</x:v>
      </x:c>
      <x:c r="F15" s="309"/>
      <x:c r="G15" s="309"/>
      <x:c r="H15" s="309"/>
    </x:row>
    <x:row r="16">
      <x:c r="A16" s="276" t="str">
        <x:v>Cấu trúc</x:v>
      </x:c>
      <x:c r="B16" s="276" t="str">
        <x:v>suggest that + S + V</x:v>
      </x:c>
      <x:c r="C16" s="276" t="str">
        <x:v>cho thấy / đề xuất rằng</x:v>
      </x:c>
      <x:c r="D16" s="276" t="str">
        <x:v>Rất cao</x:v>
      </x:c>
    </x:row>
    <x:row r="17">
      <x:c r="A17" s="276" t="str">
        <x:v>Cấu trúc</x:v>
      </x:c>
      <x:c r="B17" s="276" t="str">
        <x:v>long before + past clause</x:v>
      </x:c>
      <x:c r="C17" s="276" t="str">
        <x:v>rất lâu trước khi</x:v>
      </x:c>
      <x:c r="D17" s="276" t="str">
        <x:v>Cao</x:v>
      </x:c>
    </x:row>
    <x:row r="18">
      <x:c r="A18" s="276" t="str">
        <x:v>Cấu trúc</x:v>
      </x:c>
      <x:c r="B18" s="276" t="str">
        <x:v>once + present, future clause</x:v>
      </x:c>
      <x:c r="C18" s="276" t="str">
        <x:v>một khi / khi</x:v>
      </x:c>
      <x:c r="D18" s="276" t="str">
        <x:v>Cao</x:v>
      </x:c>
    </x:row>
    <x:row r="19">
      <x:c r="A19" s="276" t="str">
        <x:v>Cấu trúc</x:v>
      </x:c>
      <x:c r="B19" s="276" t="str">
        <x:v>refrain from + V-ing</x:v>
      </x:c>
      <x:c r="C19" s="276" t="str">
        <x:v>tránh làm gì</x:v>
      </x:c>
      <x:c r="D19" s="276" t="str">
        <x:v>Rất cao</x:v>
      </x:c>
    </x:row>
    <x:row r="20">
      <x:c r="A20" s="276" t="str">
        <x:v>Cấu trúc</x:v>
      </x:c>
      <x:c r="B20" s="276" t="str">
        <x:v>set A apart</x:v>
      </x:c>
      <x:c r="C20" s="276" t="str">
        <x:v>làm A khác biệt</x:v>
      </x:c>
      <x:c r="D20" s="276" t="str">
        <x:v>Rất cao</x:v>
      </x:c>
    </x:row>
    <x:row r="21">
      <x:c r="A21" s="276" t="str">
        <x:v>Cấu trúc</x:v>
      </x:c>
      <x:c r="B21" s="276" t="str">
        <x:v>look forward to + V-ing</x:v>
      </x:c>
      <x:c r="C21" s="276" t="str">
        <x:v>mong chờ làm gì</x:v>
      </x:c>
      <x:c r="D21" s="276" t="str">
        <x:v>Cao</x:v>
      </x:c>
    </x:row>
    <x:row r="22">
      <x:c r="A22" s="276" t="str">
        <x:v>Cấu trúc</x:v>
      </x:c>
      <x:c r="B22" s="276" t="str">
        <x:v>be expected to + V</x:v>
      </x:c>
      <x:c r="C22" s="276" t="str">
        <x:v>được kỳ vọng / yêu cầu</x:v>
      </x:c>
      <x:c r="D22" s="276" t="str">
        <x:v>Rất cao</x:v>
      </x:c>
    </x:row>
    <x:row r="23">
      <x:c r="A23" s="276" t="str">
        <x:v>Cấu trúc</x:v>
      </x:c>
      <x:c r="B23" s="276" t="str">
        <x:v>salary is commensurate with + N</x:v>
      </x:c>
      <x:c r="C23" s="276" t="str">
        <x:v>lương tương xứng với</x:v>
      </x:c>
      <x:c r="D23" s="276" t="str">
        <x:v>Cao</x:v>
      </x:c>
    </x:row>
    <x:row r="24">
      <x:c r="A24" s="276" t="str">
        <x:v>Từ/cụm</x:v>
      </x:c>
      <x:c r="B24" s="276" t="str">
        <x:v>interpersonal skills</x:v>
      </x:c>
      <x:c r="C24" s="276" t="str">
        <x:v>kỹ năng giao tiếp giữa người với người</x:v>
      </x:c>
      <x:c r="D24" s="276" t="str">
        <x:v>Rất cao</x:v>
      </x:c>
    </x:row>
    <x:row r="25">
      <x:c r="A25" s="276" t="str">
        <x:v>Từ/cụm</x:v>
      </x:c>
      <x:c r="B25" s="276" t="str">
        <x:v>cash back</x:v>
      </x:c>
      <x:c r="C25" s="276" t="str">
        <x:v>tiền hoàn lại</x:v>
      </x:c>
      <x:c r="D25" s="276" t="str">
        <x:v>Rất cao</x:v>
      </x:c>
    </x:row>
    <x:row r="26">
      <x:c r="A26" s="276" t="str">
        <x:v>Từ/cụm</x:v>
      </x:c>
      <x:c r="B26" s="276" t="str">
        <x:v>annual interest rate</x:v>
      </x:c>
      <x:c r="C26" s="276" t="str">
        <x:v>lãi suất hằng năm</x:v>
      </x:c>
      <x:c r="D26" s="276" t="str">
        <x:v>Cao</x:v>
      </x:c>
    </x:row>
    <x:row r="27">
      <x:c r="A27" s="276" t="str">
        <x:v>Từ/cụm</x:v>
      </x:c>
      <x:c r="B27" s="276" t="str">
        <x:v>market share</x:v>
      </x:c>
      <x:c r="C27" s="276" t="str">
        <x:v>thị phần</x:v>
      </x:c>
      <x:c r="D27" s="276" t="str">
        <x:v>Rất cao</x:v>
      </x:c>
    </x:row>
    <x:row r="28">
      <x:c r="A28" s="276" t="str">
        <x:v>Từ/cụm</x:v>
      </x:c>
      <x:c r="B28" s="276" t="str">
        <x:v>volume discount</x:v>
      </x:c>
      <x:c r="C28" s="276" t="str">
        <x:v>chiết khấu theo số lượng</x:v>
      </x:c>
      <x:c r="D28" s="276" t="str">
        <x:v>Rất cao</x:v>
      </x:c>
    </x:row>
    <x:row r="29">
      <x:c r="A29" s="276" t="str">
        <x:v>Từ/cụm</x:v>
      </x:c>
      <x:c r="B29" s="276" t="str">
        <x:v>price quote</x:v>
      </x:c>
      <x:c r="C29" s="276" t="str">
        <x:v>báo giá</x:v>
      </x:c>
      <x:c r="D29" s="276" t="str">
        <x:v>Rất cao</x:v>
      </x:c>
    </x:row>
    <x:row r="30">
      <x:c r="A30" s="276" t="str">
        <x:v>Từ/cụm</x:v>
      </x:c>
      <x:c r="B30" s="276" t="str">
        <x:v>data-driven</x:v>
      </x:c>
      <x:c r="C30" s="276" t="str">
        <x:v>dựa trên dữ liệu</x:v>
      </x:c>
      <x:c r="D30" s="276" t="str">
        <x:v>Rất cao</x:v>
      </x:c>
    </x:row>
    <x:row r="31">
      <x:c r="A31" s="276" t="str">
        <x:v>Từ/cụm</x:v>
      </x:c>
      <x:c r="B31" s="276" t="str">
        <x:v>direct deposit</x:v>
      </x:c>
      <x:c r="C31" s="276" t="str">
        <x:v>chuyển lương trực tiếp</x:v>
      </x:c>
      <x:c r="D31" s="276" t="str">
        <x:v>Rất cao</x:v>
      </x:c>
    </x:row>
    <x:row r="32">
      <x:c r="A32" s="276" t="str">
        <x:v>Từ/cụm</x:v>
      </x:c>
      <x:c r="B32" s="276" t="str">
        <x:v>ergonomic</x:v>
      </x:c>
      <x:c r="C32" s="276" t="str">
        <x:v>thuộc công thái học</x:v>
      </x:c>
      <x:c r="D32" s="276" t="str">
        <x:v>Rất cao</x:v>
      </x:c>
    </x:row>
    <x:row r="33">
      <x:c r="A33" s="276" t="str">
        <x:v>Từ/cụm</x:v>
      </x:c>
      <x:c r="B33" s="276" t="str">
        <x:v>from the outset</x:v>
      </x:c>
      <x:c r="C33" s="276" t="str">
        <x:v>ngay từ đầu</x:v>
      </x:c>
      <x:c r="D33" s="276" t="str">
        <x:v>Rất cao</x:v>
      </x:c>
    </x:row>
    <x:row r="34">
      <x:c r="A34" s="276" t="str">
        <x:v>Từ/cụm</x:v>
      </x:c>
      <x:c r="B34" s="276" t="str">
        <x:v>expedited delivery</x:v>
      </x:c>
      <x:c r="C34" s="276" t="str">
        <x:v>giao hàng nhanh</x:v>
      </x:c>
      <x:c r="D34" s="276" t="str">
        <x:v>Rất cao</x:v>
      </x:c>
    </x:row>
    <x:row r="35">
      <x:c r="A35" s="276" t="str">
        <x:v>Từ/cụm</x:v>
      </x:c>
      <x:c r="B35" s="276" t="str">
        <x:v>packed house</x:v>
      </x:c>
      <x:c r="C35" s="276" t="str">
        <x:v>khán phòng kín chỗ</x:v>
      </x:c>
      <x:c r="D35" s="276" t="str">
        <x:v>Rất cao</x:v>
      </x:c>
    </x:row>
    <x:row r="36">
      <x:c r="A36" s="276" t="str">
        <x:v>Từ/cụm</x:v>
      </x:c>
      <x:c r="B36" s="276" t="str">
        <x:v>historical artifact</x:v>
      </x:c>
      <x:c r="C36" s="276" t="str">
        <x:v>hiện vật lịch sử</x:v>
      </x:c>
      <x:c r="D36" s="276" t="str">
        <x:v>Rất cao</x:v>
      </x:c>
    </x:row>
    <x:row r="37">
      <x:c r="A37" s="276" t="str">
        <x:v>Từ/cụm</x:v>
      </x:c>
      <x:c r="B37" s="276" t="str">
        <x:v>surge in orders</x:v>
      </x:c>
      <x:c r="C37" s="276" t="str">
        <x:v>sự tăng vọt đơn hàng</x:v>
      </x:c>
      <x:c r="D37" s="276" t="str">
        <x:v>Rất cao</x:v>
      </x:c>
    </x:row>
    <x:row r="38">
      <x:c r="A38" s="276" t="str">
        <x:v>Từ/cụm</x:v>
      </x:c>
      <x:c r="B38" s="276" t="str">
        <x:v>aesthetics</x:v>
      </x:c>
      <x:c r="C38" s="276" t="str">
        <x:v>tính thẩm mỹ</x:v>
      </x:c>
      <x:c r="D38" s="276" t="str">
        <x:v>Rất cao</x:v>
      </x:c>
    </x:row>
    <x:row r="39">
      <x:c r="A39" s="276" t="str">
        <x:v>Từ/cụm</x:v>
      </x:c>
      <x:c r="B39" s="276" t="str">
        <x:v>rearrange a calendar</x:v>
      </x:c>
      <x:c r="C39" s="276" t="str">
        <x:v>sắp xếp lại lịch</x:v>
      </x:c>
      <x:c r="D39" s="276" t="str">
        <x:v>Rất cao</x:v>
      </x:c>
    </x:row>
  </x:sheetData>
  <x:mergeCells>
    <x:mergeCell ref="A1:H1"/>
    <x:mergeCell ref="A2:H2"/>
    <x:mergeCell ref="J4:L4"/>
    <x:mergeCell ref="A11:H11"/>
    <x:mergeCell ref="F13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3" hidden="0" customWidth="1"/>
    <x:col min="3" max="3" width="28" hidden="0" customWidth="1"/>
    <x:col min="4" max="4" width="28" hidden="0" customWidth="1"/>
    <x:col min="5" max="5" width="12" hidden="0" customWidth="1"/>
    <x:col min="6" max="6" width="9" hidden="0" customWidth="1"/>
    <x:col min="7" max="7" width="31" hidden="0" customWidth="1"/>
    <x:col min="8" max="8" width="39" hidden="0" customWidth="1"/>
    <x:col min="9" max="9" width="35" hidden="0" customWidth="1"/>
    <x:col min="10" max="10" width="24" hidden="0" customWidth="1"/>
    <x:col min="11" max="11" width="12" hidden="0" customWidth="1"/>
    <x:col min="12" max="12" width="13" hidden="0" customWidth="1"/>
  </x:cols>
  <x:sheetData>
    <x:row r="1" ht="28" customHeight="1">
      <x:c r="A1" s="5" t="str">
        <x:v>ETS 2026 – TEST 3 | TỪ VỰNG B1+ + COLLOCATION + WORD FAMILY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2" customHeight="1">
      <x:c r="A2" s="13" t="str">
        <x:v>Nguồn: ETS 2026 TOEIC READING (1).pdf – Test 3, trang PDF 62–89 (Part 5: 101–130, Part 6: 131–146, Part 7: 147–200). CEFR là mức ước lượng để ôn tập, không phải nhãn chính thức của ETS.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0" customHeight="1">
      <x:c r="A4" s="22" t="str">
        <x:v>Mã</x:v>
      </x:c>
      <x:c r="B4" s="22" t="str">
        <x:v>Nhóm nghĩa</x:v>
      </x:c>
      <x:c r="C4" s="22" t="str">
        <x:v>Từ / cụm</x:v>
      </x:c>
      <x:c r="D4" s="22" t="str">
        <x:v>Nghĩa</x:v>
      </x:c>
      <x:c r="E4" s="22" t="str">
        <x:v>Loại</x:v>
      </x:c>
      <x:c r="F4" s="22" t="str">
        <x:v>CEFR ~</x:v>
      </x:c>
      <x:c r="G4" s="22" t="str">
        <x:v>Đồng nghĩa / gần nghĩa</x:v>
      </x:c>
      <x:c r="H4" s="22" t="str">
        <x:v>Collocation / ví dụ</x:v>
      </x:c>
      <x:c r="I4" s="22" t="str">
        <x:v>Word family</x:v>
      </x:c>
      <x:c r="J4" s="22" t="str">
        <x:v>Nguồn Test 3</x:v>
      </x:c>
      <x:c r="K4" s="22" t="str">
        <x:v>Ưu tiên</x:v>
      </x:c>
      <x:c r="L4" s="22" t="str">
        <x:v>Trạng thái</x:v>
      </x:c>
    </x:row>
    <x:row r="5">
      <x:c r="A5" s="140" t="str">
        <x:v>S01</x:v>
      </x:c>
      <x:c r="B5" s="140" t="str">
        <x:v>Công việc / nhân sự</x:v>
      </x:c>
      <x:c r="C5" s="141" t="str">
        <x:v>promotion</x:v>
      </x:c>
      <x:c r="D5" s="140" t="str">
        <x:v>sự thăng chức</x:v>
      </x:c>
      <x:c r="E5" s="140" t="str">
        <x:v>N</x:v>
      </x:c>
      <x:c r="F5" s="140" t="str">
        <x:v>B1</x:v>
      </x:c>
      <x:c r="G5" s="140" t="str">
        <x:v>advancement</x:v>
      </x:c>
      <x:c r="H5" s="140" t="str">
        <x:v>receive a promotion</x:v>
      </x:c>
      <x:c r="I5" s="140" t="str">
        <x:v>promote → promotion → promotional</x:v>
      </x:c>
      <x:c r="J5" s="140" t="str">
        <x:v>Part 5 Q104 / Part 6 Q135–138</x:v>
      </x:c>
      <x:c r="K5" s="140" t="str">
        <x:v>Rất cao</x:v>
      </x:c>
      <x:c r="L5" s="140" t="str">
        <x:v>Chưa học</x:v>
      </x:c>
    </x:row>
    <x:row r="6">
      <x:c r="A6" s="140" t="str">
        <x:v>S01</x:v>
      </x:c>
      <x:c r="B6" s="140" t="str">
        <x:v>Công việc / nhân sự</x:v>
      </x:c>
      <x:c r="C6" s="141" t="str">
        <x:v>vice president</x:v>
      </x:c>
      <x:c r="D6" s="140" t="str">
        <x:v>phó chủ tịch / phó giám đốc</x:v>
      </x:c>
      <x:c r="E6" s="140" t="str">
        <x:v>Cụm</x:v>
      </x:c>
      <x:c r="F6" s="140" t="str">
        <x:v>B2</x:v>
      </x:c>
      <x:c r="G6" s="140" t="str">
        <x:v>senior executive</x:v>
      </x:c>
      <x:c r="H6" s="140" t="str">
        <x:v>company vice president</x:v>
      </x:c>
      <x:c r="I6" s="140" t="str"/>
      <x:c r="J6" s="140" t="str">
        <x:v>Part 5 Q104</x:v>
      </x:c>
      <x:c r="K6" s="140" t="str">
        <x:v>Cao</x:v>
      </x:c>
      <x:c r="L6" s="140" t="str">
        <x:v>Chưa học</x:v>
      </x:c>
    </x:row>
    <x:row r="7">
      <x:c r="A7" s="140" t="str">
        <x:v>S01</x:v>
      </x:c>
      <x:c r="B7" s="140" t="str">
        <x:v>Công việc / nhân sự</x:v>
      </x:c>
      <x:c r="C7" s="141" t="str">
        <x:v>technician</x:v>
      </x:c>
      <x:c r="D7" s="140" t="str">
        <x:v>kỹ thuật viên</x:v>
      </x:c>
      <x:c r="E7" s="140" t="str">
        <x:v>N</x:v>
      </x:c>
      <x:c r="F7" s="140" t="str">
        <x:v>B1</x:v>
      </x:c>
      <x:c r="G7" s="140" t="str">
        <x:v>specialist; repair worker</x:v>
      </x:c>
      <x:c r="H7" s="140" t="str">
        <x:v>contact a technician</x:v>
      </x:c>
      <x:c r="I7" s="140" t="str">
        <x:v>technical → technician</x:v>
      </x:c>
      <x:c r="J7" s="140" t="str">
        <x:v>Part 5 Q106</x:v>
      </x:c>
      <x:c r="K7" s="140" t="str">
        <x:v>Rất cao</x:v>
      </x:c>
      <x:c r="L7" s="140" t="str">
        <x:v>Chưa học</x:v>
      </x:c>
    </x:row>
    <x:row r="8">
      <x:c r="A8" s="140" t="str">
        <x:v>S01</x:v>
      </x:c>
      <x:c r="B8" s="140" t="str">
        <x:v>Công việc / nhân sự</x:v>
      </x:c>
      <x:c r="C8" s="141" t="str">
        <x:v>supplier</x:v>
      </x:c>
      <x:c r="D8" s="140" t="str">
        <x:v>nhà cung cấp</x:v>
      </x:c>
      <x:c r="E8" s="140" t="str">
        <x:v>N</x:v>
      </x:c>
      <x:c r="F8" s="140" t="str">
        <x:v>B1</x:v>
      </x:c>
      <x:c r="G8" s="140" t="str">
        <x:v>vendor; provider</x:v>
      </x:c>
      <x:c r="H8" s="140" t="str">
        <x:v>chosen as the supplier</x:v>
      </x:c>
      <x:c r="I8" s="140" t="str">
        <x:v>supply → supplier</x:v>
      </x:c>
      <x:c r="J8" s="140" t="str">
        <x:v>Part 5 Q114</x:v>
      </x:c>
      <x:c r="K8" s="140" t="str">
        <x:v>Rất cao</x:v>
      </x:c>
      <x:c r="L8" s="140" t="str">
        <x:v>Chưa học</x:v>
      </x:c>
    </x:row>
    <x:row r="9">
      <x:c r="A9" s="140" t="str">
        <x:v>S01</x:v>
      </x:c>
      <x:c r="B9" s="140" t="str">
        <x:v>Công việc / nhân sự</x:v>
      </x:c>
      <x:c r="C9" s="141" t="str">
        <x:v>committee member</x:v>
      </x:c>
      <x:c r="D9" s="140" t="str">
        <x:v>thành viên ủy ban</x:v>
      </x:c>
      <x:c r="E9" s="140" t="str">
        <x:v>Cụm</x:v>
      </x:c>
      <x:c r="F9" s="140" t="str">
        <x:v>B1</x:v>
      </x:c>
      <x:c r="G9" s="140" t="str">
        <x:v>panel member</x:v>
      </x:c>
      <x:c r="H9" s="140" t="str">
        <x:v>committee members who attended</x:v>
      </x:c>
      <x:c r="I9" s="140" t="str"/>
      <x:c r="J9" s="140" t="str">
        <x:v>Part 5 Q116</x:v>
      </x:c>
      <x:c r="K9" s="140" t="str">
        <x:v>Cao</x:v>
      </x:c>
      <x:c r="L9" s="140" t="str">
        <x:v>Chưa học</x:v>
      </x:c>
    </x:row>
    <x:row r="10">
      <x:c r="A10" s="140" t="str">
        <x:v>S01</x:v>
      </x:c>
      <x:c r="B10" s="140" t="str">
        <x:v>Công việc / nhân sự</x:v>
      </x:c>
      <x:c r="C10" s="141" t="str">
        <x:v>action plan</x:v>
      </x:c>
      <x:c r="D10" s="140" t="str">
        <x:v>kế hoạch hành động</x:v>
      </x:c>
      <x:c r="E10" s="140" t="str">
        <x:v>Cụm</x:v>
      </x:c>
      <x:c r="F10" s="140" t="str">
        <x:v>B2</x:v>
      </x:c>
      <x:c r="G10" s="140" t="str">
        <x:v>implementation plan</x:v>
      </x:c>
      <x:c r="H10" s="140" t="str">
        <x:v>develop an action plan</x:v>
      </x:c>
      <x:c r="I10" s="140" t="str"/>
      <x:c r="J10" s="140" t="str">
        <x:v>Part 5 Q119</x:v>
      </x:c>
      <x:c r="K10" s="140" t="str">
        <x:v>Rất cao</x:v>
      </x:c>
      <x:c r="L10" s="140" t="str">
        <x:v>Chưa học</x:v>
      </x:c>
    </x:row>
    <x:row r="11">
      <x:c r="A11" s="140" t="str">
        <x:v>S01</x:v>
      </x:c>
      <x:c r="B11" s="140" t="str">
        <x:v>Công việc / nhân sự</x:v>
      </x:c>
      <x:c r="C11" s="141" t="str">
        <x:v>job seeker</x:v>
      </x:c>
      <x:c r="D11" s="140" t="str">
        <x:v>người tìm việc</x:v>
      </x:c>
      <x:c r="E11" s="140" t="str">
        <x:v>Cụm</x:v>
      </x:c>
      <x:c r="F11" s="140" t="str">
        <x:v>B1</x:v>
      </x:c>
      <x:c r="G11" s="140" t="str">
        <x:v>job applicant</x:v>
      </x:c>
      <x:c r="H11" s="140" t="str">
        <x:v>improve job seekers' skills</x:v>
      </x:c>
      <x:c r="I11" s="140" t="str"/>
      <x:c r="J11" s="140" t="str">
        <x:v>Part 5 Q120</x:v>
      </x:c>
      <x:c r="K11" s="140" t="str">
        <x:v>Cao</x:v>
      </x:c>
      <x:c r="L11" s="140" t="str">
        <x:v>Chưa học</x:v>
      </x:c>
    </x:row>
    <x:row r="12">
      <x:c r="A12" s="140" t="str">
        <x:v>S01</x:v>
      </x:c>
      <x:c r="B12" s="140" t="str">
        <x:v>Công việc / nhân sự</x:v>
      </x:c>
      <x:c r="C12" s="141" t="str">
        <x:v>team captain</x:v>
      </x:c>
      <x:c r="D12" s="140" t="str">
        <x:v>trưởng nhóm</x:v>
      </x:c>
      <x:c r="E12" s="140" t="str">
        <x:v>Cụm</x:v>
      </x:c>
      <x:c r="F12" s="140" t="str">
        <x:v>B1</x:v>
      </x:c>
      <x:c r="G12" s="140" t="str">
        <x:v>team leader</x:v>
      </x:c>
      <x:c r="H12" s="140" t="str">
        <x:v>longtime team captain</x:v>
      </x:c>
      <x:c r="I12" s="140" t="str"/>
      <x:c r="J12" s="140" t="str">
        <x:v>Part 6 Q135–138</x:v>
      </x:c>
      <x:c r="K12" s="140" t="str">
        <x:v>Cao</x:v>
      </x:c>
      <x:c r="L12" s="140" t="str">
        <x:v>Chưa học</x:v>
      </x:c>
    </x:row>
    <x:row r="13">
      <x:c r="A13" s="140" t="str">
        <x:v>S01</x:v>
      </x:c>
      <x:c r="B13" s="140" t="str">
        <x:v>Công việc / nhân sự</x:v>
      </x:c>
      <x:c r="C13" s="141" t="str">
        <x:v>regional distribution manager</x:v>
      </x:c>
      <x:c r="D13" s="140" t="str">
        <x:v>quản lý phân phối khu vực</x:v>
      </x:c>
      <x:c r="E13" s="140" t="str">
        <x:v>Cụm</x:v>
      </x:c>
      <x:c r="F13" s="140" t="str">
        <x:v>B2</x:v>
      </x:c>
      <x:c r="G13" s="140" t="str">
        <x:v>regional logistics manager</x:v>
      </x:c>
      <x:c r="H13" s="140" t="str">
        <x:v>serve as regional distribution manager</x:v>
      </x:c>
      <x:c r="I13" s="140" t="str"/>
      <x:c r="J13" s="140" t="str">
        <x:v>Part 6 Q135–138</x:v>
      </x:c>
      <x:c r="K13" s="140" t="str">
        <x:v>Rất cao</x:v>
      </x:c>
      <x:c r="L13" s="140" t="str">
        <x:v>Chưa học</x:v>
      </x:c>
    </x:row>
    <x:row r="14">
      <x:c r="A14" s="140" t="str">
        <x:v>S01</x:v>
      </x:c>
      <x:c r="B14" s="140" t="str">
        <x:v>Công việc / nhân sự</x:v>
      </x:c>
      <x:c r="C14" s="141" t="str">
        <x:v>potential investor</x:v>
      </x:c>
      <x:c r="D14" s="140" t="str">
        <x:v>nhà đầu tư tiềm năng</x:v>
      </x:c>
      <x:c r="E14" s="140" t="str">
        <x:v>Cụm</x:v>
      </x:c>
      <x:c r="F14" s="140" t="str">
        <x:v>B2</x:v>
      </x:c>
      <x:c r="G14" s="140" t="str">
        <x:v>prospective investor</x:v>
      </x:c>
      <x:c r="H14" s="140" t="str">
        <x:v>pitch to a potential investor</x:v>
      </x:c>
      <x:c r="I14" s="140" t="str"/>
      <x:c r="J14" s="140" t="str">
        <x:v>Part 6 Q139–142</x:v>
      </x:c>
      <x:c r="K14" s="140" t="str">
        <x:v>Rất cao</x:v>
      </x:c>
      <x:c r="L14" s="140" t="str">
        <x:v>Chưa học</x:v>
      </x:c>
    </x:row>
    <x:row r="15">
      <x:c r="A15" s="140" t="str">
        <x:v>S01</x:v>
      </x:c>
      <x:c r="B15" s="140" t="str">
        <x:v>Công việc / nhân sự</x:v>
      </x:c>
      <x:c r="C15" s="141" t="str">
        <x:v>investment professional</x:v>
      </x:c>
      <x:c r="D15" s="140" t="str">
        <x:v>chuyên gia đầu tư</x:v>
      </x:c>
      <x:c r="E15" s="140" t="str">
        <x:v>Cụm</x:v>
      </x:c>
      <x:c r="F15" s="140" t="str">
        <x:v>B2</x:v>
      </x:c>
      <x:c r="G15" s="140" t="str">
        <x:v>investment specialist</x:v>
      </x:c>
      <x:c r="H15" s="140" t="str">
        <x:v>insights for investment professionals</x:v>
      </x:c>
      <x:c r="I15" s="140" t="str"/>
      <x:c r="J15" s="140" t="str">
        <x:v>Part 5 Q117</x:v>
      </x:c>
      <x:c r="K15" s="140" t="str">
        <x:v>Cao</x:v>
      </x:c>
      <x:c r="L15" s="140" t="str">
        <x:v>Chưa học</x:v>
      </x:c>
    </x:row>
    <x:row r="16">
      <x:c r="A16" s="140" t="str">
        <x:v>S01</x:v>
      </x:c>
      <x:c r="B16" s="140" t="str">
        <x:v>Công việc / nhân sự</x:v>
      </x:c>
      <x:c r="C16" s="141" t="str">
        <x:v>human resources</x:v>
      </x:c>
      <x:c r="D16" s="140" t="str">
        <x:v>nhân sự</x:v>
      </x:c>
      <x:c r="E16" s="140" t="str">
        <x:v>N</x:v>
      </x:c>
      <x:c r="F16" s="140" t="str">
        <x:v>B1</x:v>
      </x:c>
      <x:c r="G16" s="140" t="str">
        <x:v>HR; personnel</x:v>
      </x:c>
      <x:c r="H16" s="140" t="str">
        <x:v>human resources department</x:v>
      </x:c>
      <x:c r="I16" s="140" t="str"/>
      <x:c r="J16" s="140" t="str">
        <x:v>Part 6 Q143–146 / Part 7 Q158–160</x:v>
      </x:c>
      <x:c r="K16" s="140" t="str">
        <x:v>Rất cao</x:v>
      </x:c>
      <x:c r="L16" s="140" t="str">
        <x:v>Chưa học</x:v>
      </x:c>
    </x:row>
    <x:row r="17">
      <x:c r="A17" s="140" t="str">
        <x:v>S01</x:v>
      </x:c>
      <x:c r="B17" s="140" t="str">
        <x:v>Công việc / nhân sự</x:v>
      </x:c>
      <x:c r="C17" s="141" t="str">
        <x:v>executive position</x:v>
      </x:c>
      <x:c r="D17" s="140" t="str">
        <x:v>vị trí điều hành cấp cao</x:v>
      </x:c>
      <x:c r="E17" s="140" t="str">
        <x:v>Cụm</x:v>
      </x:c>
      <x:c r="F17" s="140" t="str">
        <x:v>B2</x:v>
      </x:c>
      <x:c r="G17" s="140" t="str">
        <x:v>senior role</x:v>
      </x:c>
      <x:c r="H17" s="140" t="str">
        <x:v>fill an executive position</x:v>
      </x:c>
      <x:c r="I17" s="140" t="str"/>
      <x:c r="J17" s="140" t="str">
        <x:v>Part 7 Q158–160</x:v>
      </x:c>
      <x:c r="K17" s="140" t="str">
        <x:v>Cao</x:v>
      </x:c>
      <x:c r="L17" s="140" t="str">
        <x:v>Chưa học</x:v>
      </x:c>
    </x:row>
    <x:row r="18">
      <x:c r="A18" s="140" t="str">
        <x:v>S01</x:v>
      </x:c>
      <x:c r="B18" s="140" t="str">
        <x:v>Công việc / nhân sự</x:v>
      </x:c>
      <x:c r="C18" s="141" t="str">
        <x:v>chief financial officer</x:v>
      </x:c>
      <x:c r="D18" s="140" t="str">
        <x:v>giám đốc tài chính</x:v>
      </x:c>
      <x:c r="E18" s="140" t="str">
        <x:v>Cụm</x:v>
      </x:c>
      <x:c r="F18" s="140" t="str">
        <x:v>B2</x:v>
      </x:c>
      <x:c r="G18" s="140" t="str">
        <x:v>CFO</x:v>
      </x:c>
      <x:c r="H18" s="140" t="str">
        <x:v>serve as chief financial officer</x:v>
      </x:c>
      <x:c r="I18" s="140" t="str"/>
      <x:c r="J18" s="140" t="str">
        <x:v>Part 7 Q158–160</x:v>
      </x:c>
      <x:c r="K18" s="140" t="str">
        <x:v>Cao</x:v>
      </x:c>
      <x:c r="L18" s="140" t="str">
        <x:v>Chưa học</x:v>
      </x:c>
    </x:row>
    <x:row r="19">
      <x:c r="A19" s="140" t="str">
        <x:v>S01</x:v>
      </x:c>
      <x:c r="B19" s="140" t="str">
        <x:v>Công việc / nhân sự</x:v>
      </x:c>
      <x:c r="C19" s="141" t="str">
        <x:v>director of marketing</x:v>
      </x:c>
      <x:c r="D19" s="140" t="str">
        <x:v>giám đốc tiếp thị</x:v>
      </x:c>
      <x:c r="E19" s="140" t="str">
        <x:v>Cụm</x:v>
      </x:c>
      <x:c r="F19" s="140" t="str">
        <x:v>B1</x:v>
      </x:c>
      <x:c r="G19" s="140" t="str">
        <x:v>marketing director</x:v>
      </x:c>
      <x:c r="H19" s="140" t="str">
        <x:v>appoint a director of marketing</x:v>
      </x:c>
      <x:c r="I19" s="140" t="str"/>
      <x:c r="J19" s="140" t="str">
        <x:v>Part 7 Q158–160</x:v>
      </x:c>
      <x:c r="K19" s="140" t="str">
        <x:v>Cao</x:v>
      </x:c>
      <x:c r="L19" s="140" t="str">
        <x:v>Chưa học</x:v>
      </x:c>
    </x:row>
    <x:row r="20">
      <x:c r="A20" s="142" t="str">
        <x:v>S01</x:v>
      </x:c>
      <x:c r="B20" s="142" t="str">
        <x:v>Công việc / nhân sự</x:v>
      </x:c>
      <x:c r="C20" s="143" t="str">
        <x:v>oversee</x:v>
      </x:c>
      <x:c r="D20" s="142" t="str">
        <x:v>giám sát / phụ trách</x:v>
      </x:c>
      <x:c r="E20" s="142" t="str">
        <x:v>V</x:v>
      </x:c>
      <x:c r="F20" s="142" t="str">
        <x:v>B2</x:v>
      </x:c>
      <x:c r="G20" s="142" t="str">
        <x:v>supervise; manage</x:v>
      </x:c>
      <x:c r="H20" s="142" t="str">
        <x:v>oversee a department</x:v>
      </x:c>
      <x:c r="I20" s="142" t="str">
        <x:v>oversight → oversee</x:v>
      </x:c>
      <x:c r="J20" s="142" t="str">
        <x:v>Part 7 Q158–160</x:v>
      </x:c>
      <x:c r="K20" s="142" t="str">
        <x:v>Rất cao</x:v>
      </x:c>
      <x:c r="L20" s="142" t="str">
        <x:v>Chưa học</x:v>
      </x:c>
    </x:row>
    <x:row r="21">
      <x:c r="A21" s="142" t="str">
        <x:v>S01</x:v>
      </x:c>
      <x:c r="B21" s="142" t="str">
        <x:v>Công việc / nhân sự</x:v>
      </x:c>
      <x:c r="C21" s="143" t="str">
        <x:v>retire</x:v>
      </x:c>
      <x:c r="D21" s="142" t="str">
        <x:v>nghỉ hưu</x:v>
      </x:c>
      <x:c r="E21" s="142" t="str">
        <x:v>V</x:v>
      </x:c>
      <x:c r="F21" s="142" t="str">
        <x:v>B1</x:v>
      </x:c>
      <x:c r="G21" s="142" t="str">
        <x:v>leave employment</x:v>
      </x:c>
      <x:c r="H21" s="142" t="str">
        <x:v>decide to retire</x:v>
      </x:c>
      <x:c r="I21" s="142" t="str">
        <x:v>retirement → retired</x:v>
      </x:c>
      <x:c r="J21" s="142" t="str">
        <x:v>Part 7 Q158–160</x:v>
      </x:c>
      <x:c r="K21" s="142" t="str">
        <x:v>Cao</x:v>
      </x:c>
      <x:c r="L21" s="142" t="str">
        <x:v>Chưa học</x:v>
      </x:c>
    </x:row>
    <x:row r="22">
      <x:c r="A22" s="142" t="str">
        <x:v>S01</x:v>
      </x:c>
      <x:c r="B22" s="142" t="str">
        <x:v>Công việc / nhân sự</x:v>
      </x:c>
      <x:c r="C22" s="143" t="str">
        <x:v>assignment</x:v>
      </x:c>
      <x:c r="D22" s="142" t="str">
        <x:v>nhiệm vụ / sự bổ nhiệm</x:v>
      </x:c>
      <x:c r="E22" s="142" t="str">
        <x:v>N</x:v>
      </x:c>
      <x:c r="F22" s="142" t="str">
        <x:v>B1</x:v>
      </x:c>
      <x:c r="G22" s="142" t="str">
        <x:v>task; appointment</x:v>
      </x:c>
      <x:c r="H22" s="142" t="str">
        <x:v>executive assignment</x:v>
      </x:c>
      <x:c r="I22" s="142" t="str">
        <x:v>assign → assignment</x:v>
      </x:c>
      <x:c r="J22" s="142" t="str">
        <x:v>Part 7 Q158–160</x:v>
      </x:c>
      <x:c r="K22" s="142" t="str">
        <x:v>Cao</x:v>
      </x:c>
      <x:c r="L22" s="142" t="str">
        <x:v>Chưa học</x:v>
      </x:c>
    </x:row>
    <x:row r="23">
      <x:c r="A23" s="142" t="str">
        <x:v>S01</x:v>
      </x:c>
      <x:c r="B23" s="142" t="str">
        <x:v>Công việc / nhân sự</x:v>
      </x:c>
      <x:c r="C23" s="143" t="str">
        <x:v>report reviewer</x:v>
      </x:c>
      <x:c r="D23" s="142" t="str">
        <x:v>người rà soát báo cáo</x:v>
      </x:c>
      <x:c r="E23" s="142" t="str">
        <x:v>Cụm</x:v>
      </x:c>
      <x:c r="F23" s="142" t="str">
        <x:v>B2</x:v>
      </x:c>
      <x:c r="G23" s="142" t="str">
        <x:v>technical editor</x:v>
      </x:c>
      <x:c r="H23" s="142" t="str">
        <x:v>hire a report reviewer</x:v>
      </x:c>
      <x:c r="I23" s="142" t="str">
        <x:v>review → reviewer</x:v>
      </x:c>
      <x:c r="J23" s="142" t="str">
        <x:v>Part 7 Q164–167</x:v>
      </x:c>
      <x:c r="K23" s="142" t="str">
        <x:v>Cao</x:v>
      </x:c>
      <x:c r="L23" s="142" t="str">
        <x:v>Chưa học</x:v>
      </x:c>
    </x:row>
    <x:row r="24">
      <x:c r="A24" s="142" t="str">
        <x:v>S01</x:v>
      </x:c>
      <x:c r="B24" s="142" t="str">
        <x:v>Công việc / nhân sự</x:v>
      </x:c>
      <x:c r="C24" s="143" t="str">
        <x:v>work-from-home position</x:v>
      </x:c>
      <x:c r="D24" s="142" t="str">
        <x:v>vị trí làm việc tại nhà</x:v>
      </x:c>
      <x:c r="E24" s="142" t="str">
        <x:v>Cụm</x:v>
      </x:c>
      <x:c r="F24" s="142" t="str">
        <x:v>B1</x:v>
      </x:c>
      <x:c r="G24" s="142" t="str">
        <x:v>remote position</x:v>
      </x:c>
      <x:c r="H24" s="142" t="str">
        <x:v>apply for a work-from-home position</x:v>
      </x:c>
      <x:c r="I24" s="142" t="str"/>
      <x:c r="J24" s="142" t="str">
        <x:v>Part 7 Q164–167</x:v>
      </x:c>
      <x:c r="K24" s="142" t="str">
        <x:v>Rất cao</x:v>
      </x:c>
      <x:c r="L24" s="142" t="str">
        <x:v>Chưa học</x:v>
      </x:c>
    </x:row>
    <x:row r="25">
      <x:c r="A25" s="142" t="str">
        <x:v>S01</x:v>
      </x:c>
      <x:c r="B25" s="142" t="str">
        <x:v>Công việc / nhân sự</x:v>
      </x:c>
      <x:c r="C25" s="143" t="str">
        <x:v>full-time position</x:v>
      </x:c>
      <x:c r="D25" s="142" t="str">
        <x:v>vị trí toàn thời gian</x:v>
      </x:c>
      <x:c r="E25" s="142" t="str">
        <x:v>Cụm</x:v>
      </x:c>
      <x:c r="F25" s="142" t="str">
        <x:v>B1</x:v>
      </x:c>
      <x:c r="G25" s="142" t="str">
        <x:v>full-time role</x:v>
      </x:c>
      <x:c r="H25" s="142" t="str">
        <x:v>regular hours for a full-time position</x:v>
      </x:c>
      <x:c r="I25" s="142" t="str"/>
      <x:c r="J25" s="142" t="str">
        <x:v>Part 7 Q164–167</x:v>
      </x:c>
      <x:c r="K25" s="142" t="str">
        <x:v>Cao</x:v>
      </x:c>
      <x:c r="L25" s="142" t="str">
        <x:v>Chưa học</x:v>
      </x:c>
    </x:row>
    <x:row r="26">
      <x:c r="A26" s="142" t="str">
        <x:v>S01</x:v>
      </x:c>
      <x:c r="B26" s="142" t="str">
        <x:v>Công việc / nhân sự</x:v>
      </x:c>
      <x:c r="C26" s="143" t="str">
        <x:v>job requirement</x:v>
      </x:c>
      <x:c r="D26" s="142" t="str">
        <x:v>yêu cầu công việc</x:v>
      </x:c>
      <x:c r="E26" s="142" t="str">
        <x:v>Cụm</x:v>
      </x:c>
      <x:c r="F26" s="142" t="str">
        <x:v>B1</x:v>
      </x:c>
      <x:c r="G26" s="142" t="str">
        <x:v>employment requirement</x:v>
      </x:c>
      <x:c r="H26" s="142" t="str">
        <x:v>listed as a job requirement</x:v>
      </x:c>
      <x:c r="I26" s="142" t="str"/>
      <x:c r="J26" s="142" t="str">
        <x:v>Part 7 Q164–167</x:v>
      </x:c>
      <x:c r="K26" s="142" t="str">
        <x:v>Cao</x:v>
      </x:c>
      <x:c r="L26" s="142" t="str">
        <x:v>Chưa học</x:v>
      </x:c>
    </x:row>
    <x:row r="27">
      <x:c r="A27" s="142" t="str">
        <x:v>S01</x:v>
      </x:c>
      <x:c r="B27" s="142" t="str">
        <x:v>Công việc / nhân sự</x:v>
      </x:c>
      <x:c r="C27" s="143" t="str">
        <x:v>interpersonal skills</x:v>
      </x:c>
      <x:c r="D27" s="142" t="str">
        <x:v>kỹ năng giao tiếp giữa người với người</x:v>
      </x:c>
      <x:c r="E27" s="142" t="str">
        <x:v>Cụm</x:v>
      </x:c>
      <x:c r="F27" s="142" t="str">
        <x:v>B2</x:v>
      </x:c>
      <x:c r="G27" s="142" t="str">
        <x:v>people skills</x:v>
      </x:c>
      <x:c r="H27" s="142" t="str">
        <x:v>strong interpersonal skills</x:v>
      </x:c>
      <x:c r="I27" s="142" t="str"/>
      <x:c r="J27" s="142" t="str">
        <x:v>Part 7 Q164–167</x:v>
      </x:c>
      <x:c r="K27" s="142" t="str">
        <x:v>Rất cao</x:v>
      </x:c>
      <x:c r="L27" s="142" t="str">
        <x:v>Chưa học</x:v>
      </x:c>
    </x:row>
    <x:row r="28">
      <x:c r="A28" s="142" t="str">
        <x:v>S01</x:v>
      </x:c>
      <x:c r="B28" s="142" t="str">
        <x:v>Công việc / nhân sự</x:v>
      </x:c>
      <x:c r="C28" s="143" t="str">
        <x:v>cover letter</x:v>
      </x:c>
      <x:c r="D28" s="142" t="str">
        <x:v>thư xin việc</x:v>
      </x:c>
      <x:c r="E28" s="142" t="str">
        <x:v>Cụm</x:v>
      </x:c>
      <x:c r="F28" s="142" t="str">
        <x:v>B1</x:v>
      </x:c>
      <x:c r="G28" s="142" t="str">
        <x:v>application letter</x:v>
      </x:c>
      <x:c r="H28" s="142" t="str">
        <x:v>send a cover letter and résumé</x:v>
      </x:c>
      <x:c r="I28" s="142" t="str"/>
      <x:c r="J28" s="142" t="str">
        <x:v>Part 7 Q164–167</x:v>
      </x:c>
      <x:c r="K28" s="142" t="str">
        <x:v>Rất cao</x:v>
      </x:c>
      <x:c r="L28" s="142" t="str">
        <x:v>Chưa học</x:v>
      </x:c>
    </x:row>
    <x:row r="29">
      <x:c r="A29" s="142" t="str">
        <x:v>S01</x:v>
      </x:c>
      <x:c r="B29" s="142" t="str">
        <x:v>Công việc / nhân sự</x:v>
      </x:c>
      <x:c r="C29" s="143" t="str">
        <x:v>applicant</x:v>
      </x:c>
      <x:c r="D29" s="142" t="str">
        <x:v>ứng viên</x:v>
      </x:c>
      <x:c r="E29" s="142" t="str">
        <x:v>N</x:v>
      </x:c>
      <x:c r="F29" s="142" t="str">
        <x:v>B1</x:v>
      </x:c>
      <x:c r="G29" s="142" t="str">
        <x:v>candidate</x:v>
      </x:c>
      <x:c r="H29" s="142" t="str">
        <x:v>interested applicants</x:v>
      </x:c>
      <x:c r="I29" s="142" t="str">
        <x:v>apply → applicant → application</x:v>
      </x:c>
      <x:c r="J29" s="142" t="str">
        <x:v>Part 7 Q164–167 / Q191–200</x:v>
      </x:c>
      <x:c r="K29" s="142" t="str">
        <x:v>Rất cao</x:v>
      </x:c>
      <x:c r="L29" s="142" t="str">
        <x:v>Chưa học</x:v>
      </x:c>
    </x:row>
    <x:row r="30">
      <x:c r="A30" s="142" t="str">
        <x:v>S01</x:v>
      </x:c>
      <x:c r="B30" s="142" t="str">
        <x:v>Công việc / nhân sự</x:v>
      </x:c>
      <x:c r="C30" s="143" t="str">
        <x:v>recruiter</x:v>
      </x:c>
      <x:c r="D30" s="142" t="str">
        <x:v>nhà tuyển dụng</x:v>
      </x:c>
      <x:c r="E30" s="142" t="str">
        <x:v>N</x:v>
      </x:c>
      <x:c r="F30" s="142" t="str">
        <x:v>B2</x:v>
      </x:c>
      <x:c r="G30" s="142" t="str">
        <x:v>hiring manager</x:v>
      </x:c>
      <x:c r="H30" s="142" t="str">
        <x:v>job seekers and recruiters</x:v>
      </x:c>
      <x:c r="I30" s="142" t="str">
        <x:v>recruit → recruiter → recruitment</x:v>
      </x:c>
      <x:c r="J30" s="142" t="str">
        <x:v>Part 7 Q196–200</x:v>
      </x:c>
      <x:c r="K30" s="142" t="str">
        <x:v>Cao</x:v>
      </x:c>
      <x:c r="L30" s="142" t="str">
        <x:v>Chưa học</x:v>
      </x:c>
    </x:row>
    <x:row r="31">
      <x:c r="A31" s="144" t="str">
        <x:v>S01</x:v>
      </x:c>
      <x:c r="B31" s="144" t="str">
        <x:v>Công việc / nhân sự</x:v>
      </x:c>
      <x:c r="C31" s="145" t="str">
        <x:v>application deadline</x:v>
      </x:c>
      <x:c r="D31" s="144" t="str">
        <x:v>hạn nộp hồ sơ</x:v>
      </x:c>
      <x:c r="E31" s="144" t="str">
        <x:v>Cụm</x:v>
      </x:c>
      <x:c r="F31" s="144" t="str">
        <x:v>B1</x:v>
      </x:c>
      <x:c r="G31" s="144" t="str">
        <x:v>submission deadline</x:v>
      </x:c>
      <x:c r="H31" s="144" t="str">
        <x:v>application deadline: 21 July</x:v>
      </x:c>
      <x:c r="I31" s="144" t="str"/>
      <x:c r="J31" s="144" t="str">
        <x:v>Part 7 Q196–200</x:v>
      </x:c>
      <x:c r="K31" s="144" t="str">
        <x:v>Rất cao</x:v>
      </x:c>
      <x:c r="L31" s="144" t="str">
        <x:v>Chưa học</x:v>
      </x:c>
    </x:row>
    <x:row r="32">
      <x:c r="A32" s="144" t="str">
        <x:v>S01</x:v>
      </x:c>
      <x:c r="B32" s="144" t="str">
        <x:v>Công việc / nhân sự</x:v>
      </x:c>
      <x:c r="C32" s="145" t="str">
        <x:v>performance rehearsal</x:v>
      </x:c>
      <x:c r="D32" s="144" t="str">
        <x:v>buổi tập luyện biểu diễn</x:v>
      </x:c>
      <x:c r="E32" s="144" t="str">
        <x:v>Cụm</x:v>
      </x:c>
      <x:c r="F32" s="144" t="str">
        <x:v>B2</x:v>
      </x:c>
      <x:c r="G32" s="144" t="str">
        <x:v>practice session</x:v>
      </x:c>
      <x:c r="H32" s="144" t="str">
        <x:v>autumn performance rehearsals</x:v>
      </x:c>
      <x:c r="I32" s="144" t="str">
        <x:v>rehearse → rehearsal</x:v>
      </x:c>
      <x:c r="J32" s="144" t="str">
        <x:v>Part 7 Q196–200</x:v>
      </x:c>
      <x:c r="K32" s="144" t="str">
        <x:v>Cao</x:v>
      </x:c>
      <x:c r="L32" s="144" t="str">
        <x:v>Chưa học</x:v>
      </x:c>
    </x:row>
    <x:row r="33">
      <x:c r="A33" s="144" t="str">
        <x:v>S02</x:v>
      </x:c>
      <x:c r="B33" s="144" t="str">
        <x:v>Kinh doanh / tài chính</x:v>
      </x:c>
      <x:c r="C33" s="145" t="str">
        <x:v>profitable</x:v>
      </x:c>
      <x:c r="D33" s="144" t="str">
        <x:v>có lợi nhuận</x:v>
      </x:c>
      <x:c r="E33" s="144" t="str">
        <x:v>Adj</x:v>
      </x:c>
      <x:c r="F33" s="144" t="str">
        <x:v>B1</x:v>
      </x:c>
      <x:c r="G33" s="144" t="str">
        <x:v>lucrative; money-making</x:v>
      </x:c>
      <x:c r="H33" s="144" t="str">
        <x:v>a financially profitable quarter</x:v>
      </x:c>
      <x:c r="I33" s="144" t="str">
        <x:v>profit → profitable → profitability</x:v>
      </x:c>
      <x:c r="J33" s="144" t="str">
        <x:v>Part 5 Q113</x:v>
      </x:c>
      <x:c r="K33" s="144" t="str">
        <x:v>Rất cao</x:v>
      </x:c>
      <x:c r="L33" s="144" t="str">
        <x:v>Chưa học</x:v>
      </x:c>
    </x:row>
    <x:row r="34">
      <x:c r="A34" s="144" t="str">
        <x:v>S02</x:v>
      </x:c>
      <x:c r="B34" s="144" t="str">
        <x:v>Kinh doanh / tài chính</x:v>
      </x:c>
      <x:c r="C34" s="145" t="str">
        <x:v>lowest bid</x:v>
      </x:c>
      <x:c r="D34" s="144" t="str">
        <x:v>giá thầu thấp nhất</x:v>
      </x:c>
      <x:c r="E34" s="144" t="str">
        <x:v>Cụm</x:v>
      </x:c>
      <x:c r="F34" s="144" t="str">
        <x:v>B2</x:v>
      </x:c>
      <x:c r="G34" s="144" t="str">
        <x:v>lowest offer</x:v>
      </x:c>
      <x:c r="H34" s="144" t="str">
        <x:v>submit the lowest bid</x:v>
      </x:c>
      <x:c r="I34" s="144" t="str"/>
      <x:c r="J34" s="144" t="str">
        <x:v>Part 5 Q114</x:v>
      </x:c>
      <x:c r="K34" s="144" t="str">
        <x:v>Rất cao</x:v>
      </x:c>
      <x:c r="L34" s="144" t="str">
        <x:v>Chưa học</x:v>
      </x:c>
    </x:row>
    <x:row r="35">
      <x:c r="A35" s="144" t="str">
        <x:v>S02</x:v>
      </x:c>
      <x:c r="B35" s="144" t="str">
        <x:v>Kinh doanh / tài chính</x:v>
      </x:c>
      <x:c r="C35" s="145" t="str">
        <x:v>budget cut</x:v>
      </x:c>
      <x:c r="D35" s="144" t="str">
        <x:v>việc cắt giảm ngân sách</x:v>
      </x:c>
      <x:c r="E35" s="144" t="str">
        <x:v>Cụm</x:v>
      </x:c>
      <x:c r="F35" s="144" t="str">
        <x:v>B2</x:v>
      </x:c>
      <x:c r="G35" s="144" t="str">
        <x:v>spending reduction</x:v>
      </x:c>
      <x:c r="H35" s="144" t="str">
        <x:v>in response to budget cuts</x:v>
      </x:c>
      <x:c r="I35" s="144" t="str"/>
      <x:c r="J35" s="144" t="str">
        <x:v>Part 5 Q119</x:v>
      </x:c>
      <x:c r="K35" s="144" t="str">
        <x:v>Rất cao</x:v>
      </x:c>
      <x:c r="L35" s="144" t="str">
        <x:v>Chưa học</x:v>
      </x:c>
    </x:row>
    <x:row r="36">
      <x:c r="A36" s="144" t="str">
        <x:v>S02</x:v>
      </x:c>
      <x:c r="B36" s="144" t="str">
        <x:v>Kinh doanh / tài chính</x:v>
      </x:c>
      <x:c r="C36" s="145" t="str">
        <x:v>decline in revenue</x:v>
      </x:c>
      <x:c r="D36" s="144" t="str">
        <x:v>sự sụt giảm doanh thu</x:v>
      </x:c>
      <x:c r="E36" s="144" t="str">
        <x:v>Cụm</x:v>
      </x:c>
      <x:c r="F36" s="144" t="str">
        <x:v>B2</x:v>
      </x:c>
      <x:c r="G36" s="144" t="str">
        <x:v>drop in revenue</x:v>
      </x:c>
      <x:c r="H36" s="144" t="str">
        <x:v>a slight decline in revenue</x:v>
      </x:c>
      <x:c r="I36" s="144" t="str">
        <x:v>decline → declining</x:v>
      </x:c>
      <x:c r="J36" s="144" t="str">
        <x:v>Part 5 Q125</x:v>
      </x:c>
      <x:c r="K36" s="144" t="str">
        <x:v>Rất cao</x:v>
      </x:c>
      <x:c r="L36" s="144" t="str">
        <x:v>Chưa học</x:v>
      </x:c>
    </x:row>
    <x:row r="37">
      <x:c r="A37" s="144" t="str">
        <x:v>S02</x:v>
      </x:c>
      <x:c r="B37" s="144" t="str">
        <x:v>Kinh doanh / tài chính</x:v>
      </x:c>
      <x:c r="C37" s="145" t="str">
        <x:v>expansion plan</x:v>
      </x:c>
      <x:c r="D37" s="144" t="str">
        <x:v>kế hoạch mở rộng</x:v>
      </x:c>
      <x:c r="E37" s="144" t="str">
        <x:v>Cụm</x:v>
      </x:c>
      <x:c r="F37" s="144" t="str">
        <x:v>B1</x:v>
      </x:c>
      <x:c r="G37" s="144" t="str">
        <x:v>growth plan</x:v>
      </x:c>
      <x:c r="H37" s="144" t="str">
        <x:v>move forward with an expansion plan</x:v>
      </x:c>
      <x:c r="I37" s="144" t="str">
        <x:v>expand → expansion</x:v>
      </x:c>
      <x:c r="J37" s="144" t="str">
        <x:v>Part 5 Q125</x:v>
      </x:c>
      <x:c r="K37" s="144" t="str">
        <x:v>Rất cao</x:v>
      </x:c>
      <x:c r="L37" s="144" t="str">
        <x:v>Chưa học</x:v>
      </x:c>
    </x:row>
    <x:row r="38">
      <x:c r="A38" s="144" t="str">
        <x:v>S02</x:v>
      </x:c>
      <x:c r="B38" s="144" t="str">
        <x:v>Kinh doanh / tài chính</x:v>
      </x:c>
      <x:c r="C38" s="145" t="str">
        <x:v>cash back</x:v>
      </x:c>
      <x:c r="D38" s="144" t="str">
        <x:v>tiền hoàn lại</x:v>
      </x:c>
      <x:c r="E38" s="144" t="str">
        <x:v>Cụm</x:v>
      </x:c>
      <x:c r="F38" s="144" t="str">
        <x:v>B1</x:v>
      </x:c>
      <x:c r="G38" s="144" t="str">
        <x:v>cashback reward</x:v>
      </x:c>
      <x:c r="H38" s="144" t="str">
        <x:v>earn cash back on a purchase</x:v>
      </x:c>
      <x:c r="I38" s="144" t="str"/>
      <x:c r="J38" s="144" t="str">
        <x:v>Part 6 Q131–134</x:v>
      </x:c>
      <x:c r="K38" s="144" t="str">
        <x:v>Rất cao</x:v>
      </x:c>
      <x:c r="L38" s="144" t="str">
        <x:v>Chưa học</x:v>
      </x:c>
    </x:row>
    <x:row r="39">
      <x:c r="A39" s="144" t="str">
        <x:v>S02</x:v>
      </x:c>
      <x:c r="B39" s="144" t="str">
        <x:v>Kinh doanh / tài chính</x:v>
      </x:c>
      <x:c r="C39" s="145" t="str">
        <x:v>transaction</x:v>
      </x:c>
      <x:c r="D39" s="144" t="str">
        <x:v>giao dịch</x:v>
      </x:c>
      <x:c r="E39" s="144" t="str">
        <x:v>N</x:v>
      </x:c>
      <x:c r="F39" s="144" t="str">
        <x:v>B1</x:v>
      </x:c>
      <x:c r="G39" s="144" t="str">
        <x:v>deal; payment</x:v>
      </x:c>
      <x:c r="H39" s="144" t="str">
        <x:v>a $50 transaction</x:v>
      </x:c>
      <x:c r="I39" s="144" t="str">
        <x:v>transact → transaction</x:v>
      </x:c>
      <x:c r="J39" s="144" t="str">
        <x:v>Part 6 Q131–134</x:v>
      </x:c>
      <x:c r="K39" s="144" t="str">
        <x:v>Rất cao</x:v>
      </x:c>
      <x:c r="L39" s="144" t="str">
        <x:v>Chưa học</x:v>
      </x:c>
    </x:row>
    <x:row r="40">
      <x:c r="A40" s="144" t="str">
        <x:v>S02</x:v>
      </x:c>
      <x:c r="B40" s="144" t="str">
        <x:v>Kinh doanh / tài chính</x:v>
      </x:c>
      <x:c r="C40" s="145" t="str">
        <x:v>annual interest rate</x:v>
      </x:c>
      <x:c r="D40" s="144" t="str">
        <x:v>lãi suất hằng năm</x:v>
      </x:c>
      <x:c r="E40" s="144" t="str">
        <x:v>Cụm</x:v>
      </x:c>
      <x:c r="F40" s="144" t="str">
        <x:v>B2</x:v>
      </x:c>
      <x:c r="G40" s="144" t="str">
        <x:v>yearly rate</x:v>
      </x:c>
      <x:c r="H40" s="144" t="str">
        <x:v>earn a 3% annual interest rate</x:v>
      </x:c>
      <x:c r="I40" s="144" t="str"/>
      <x:c r="J40" s="144" t="str">
        <x:v>Part 6 Q131–134</x:v>
      </x:c>
      <x:c r="K40" s="144" t="str">
        <x:v>Cao</x:v>
      </x:c>
      <x:c r="L40" s="144" t="str">
        <x:v>Chưa học</x:v>
      </x:c>
    </x:row>
    <x:row r="41">
      <x:c r="A41" s="144" t="str">
        <x:v>S02</x:v>
      </x:c>
      <x:c r="B41" s="144" t="str">
        <x:v>Kinh doanh / tài chính</x:v>
      </x:c>
      <x:c r="C41" s="145" t="str">
        <x:v>savings account</x:v>
      </x:c>
      <x:c r="D41" s="144" t="str">
        <x:v>tài khoản tiết kiệm</x:v>
      </x:c>
      <x:c r="E41" s="144" t="str">
        <x:v>Cụm</x:v>
      </x:c>
      <x:c r="F41" s="144" t="str">
        <x:v>B1</x:v>
      </x:c>
      <x:c r="G41" s="144" t="str">
        <x:v>deposit account</x:v>
      </x:c>
      <x:c r="H41" s="144" t="str">
        <x:v>a separate savings account</x:v>
      </x:c>
      <x:c r="I41" s="144" t="str"/>
      <x:c r="J41" s="144" t="str">
        <x:v>Part 6 Q131–134</x:v>
      </x:c>
      <x:c r="K41" s="144" t="str">
        <x:v>Cao</x:v>
      </x:c>
      <x:c r="L41" s="144" t="str">
        <x:v>Chưa học</x:v>
      </x:c>
    </x:row>
    <x:row r="42">
      <x:c r="A42" s="144" t="str">
        <x:v>S02</x:v>
      </x:c>
      <x:c r="B42" s="144" t="str">
        <x:v>Kinh doanh / tài chính</x:v>
      </x:c>
      <x:c r="C42" s="145" t="str">
        <x:v>double-rewards program</x:v>
      </x:c>
      <x:c r="D42" s="144" t="str">
        <x:v>chương trình nhân đôi phần thưởng</x:v>
      </x:c>
      <x:c r="E42" s="144" t="str">
        <x:v>Cụm</x:v>
      </x:c>
      <x:c r="F42" s="144" t="str">
        <x:v>B2</x:v>
      </x:c>
      <x:c r="G42" s="144" t="str">
        <x:v>bonus rewards program</x:v>
      </x:c>
      <x:c r="H42" s="144" t="str">
        <x:v>enroll in a double-rewards program</x:v>
      </x:c>
      <x:c r="I42" s="144" t="str"/>
      <x:c r="J42" s="144" t="str">
        <x:v>Part 6 Q131–134</x:v>
      </x:c>
      <x:c r="K42" s="144" t="str">
        <x:v>Cao</x:v>
      </x:c>
      <x:c r="L42" s="144" t="str">
        <x:v>Chưa học</x:v>
      </x:c>
    </x:row>
    <x:row r="43">
      <x:c r="A43" s="144" t="str">
        <x:v>S02</x:v>
      </x:c>
      <x:c r="B43" s="144" t="str">
        <x:v>Kinh doanh / tài chính</x:v>
      </x:c>
      <x:c r="C43" s="145" t="str">
        <x:v>funding</x:v>
      </x:c>
      <x:c r="D43" s="144" t="str">
        <x:v>nguồn vốn</x:v>
      </x:c>
      <x:c r="E43" s="144" t="str">
        <x:v>N</x:v>
      </x:c>
      <x:c r="F43" s="144" t="str">
        <x:v>B1</x:v>
      </x:c>
      <x:c r="G43" s="144" t="str">
        <x:v>financing; capital</x:v>
      </x:c>
      <x:c r="H43" s="144" t="str">
        <x:v>acquire the funding you seek</x:v>
      </x:c>
      <x:c r="I43" s="144" t="str">
        <x:v>fund → funding</x:v>
      </x:c>
      <x:c r="J43" s="144" t="str">
        <x:v>Part 6 Q139–142</x:v>
      </x:c>
      <x:c r="K43" s="144" t="str">
        <x:v>Rất cao</x:v>
      </x:c>
      <x:c r="L43" s="144" t="str">
        <x:v>Chưa học</x:v>
      </x:c>
    </x:row>
    <x:row r="44">
      <x:c r="A44" s="144" t="str">
        <x:v>S02</x:v>
      </x:c>
      <x:c r="B44" s="144" t="str">
        <x:v>Kinh doanh / tài chính</x:v>
      </x:c>
      <x:c r="C44" s="145" t="str">
        <x:v>market share</x:v>
      </x:c>
      <x:c r="D44" s="144" t="str">
        <x:v>thị phần</x:v>
      </x:c>
      <x:c r="E44" s="144" t="str">
        <x:v>Cụm</x:v>
      </x:c>
      <x:c r="F44" s="144" t="str">
        <x:v>B2</x:v>
      </x:c>
      <x:c r="G44" s="144" t="str">
        <x:v>share of the market</x:v>
      </x:c>
      <x:c r="H44" s="144" t="str">
        <x:v>regain significant market share</x:v>
      </x:c>
      <x:c r="I44" s="144" t="str"/>
      <x:c r="J44" s="144" t="str">
        <x:v>Part 7 Q158–160</x:v>
      </x:c>
      <x:c r="K44" s="144" t="str">
        <x:v>Rất cao</x:v>
      </x:c>
      <x:c r="L44" s="144" t="str">
        <x:v>Chưa học</x:v>
      </x:c>
    </x:row>
    <x:row r="45">
      <x:c r="A45" s="144" t="str">
        <x:v>S02</x:v>
      </x:c>
      <x:c r="B45" s="144" t="str">
        <x:v>Kinh doanh / tài chính</x:v>
      </x:c>
      <x:c r="C45" s="145" t="str">
        <x:v>competitor</x:v>
      </x:c>
      <x:c r="D45" s="144" t="str">
        <x:v>đối thủ cạnh tranh</x:v>
      </x:c>
      <x:c r="E45" s="144" t="str">
        <x:v>N</x:v>
      </x:c>
      <x:c r="F45" s="144" t="str">
        <x:v>B1</x:v>
      </x:c>
      <x:c r="G45" s="144" t="str">
        <x:v>rival</x:v>
      </x:c>
      <x:c r="H45" s="144" t="str">
        <x:v>market share from competitors</x:v>
      </x:c>
      <x:c r="I45" s="144" t="str">
        <x:v>compete → competition → competitor</x:v>
      </x:c>
      <x:c r="J45" s="144" t="str">
        <x:v>Part 7 Q158–160</x:v>
      </x:c>
      <x:c r="K45" s="144" t="str">
        <x:v>Cao</x:v>
      </x:c>
      <x:c r="L45" s="144" t="str">
        <x:v>Chưa học</x:v>
      </x:c>
    </x:row>
    <x:row r="46">
      <x:c r="A46" s="144" t="str">
        <x:v>S02</x:v>
      </x:c>
      <x:c r="B46" s="144" t="str">
        <x:v>Kinh doanh / tài chính</x:v>
      </x:c>
      <x:c r="C46" s="145" t="str">
        <x:v>sales downturn</x:v>
      </x:c>
      <x:c r="D46" s="144" t="str">
        <x:v>sự suy giảm doanh số</x:v>
      </x:c>
      <x:c r="E46" s="144" t="str">
        <x:v>Cụm</x:v>
      </x:c>
      <x:c r="F46" s="144" t="str">
        <x:v>B2</x:v>
      </x:c>
      <x:c r="G46" s="144" t="str">
        <x:v>sales decline</x:v>
      </x:c>
      <x:c r="H46" s="144" t="str">
        <x:v>a recent sales downturn</x:v>
      </x:c>
      <x:c r="I46" s="144" t="str"/>
      <x:c r="J46" s="144" t="str">
        <x:v>Part 7 Q172–175</x:v>
      </x:c>
      <x:c r="K46" s="144" t="str">
        <x:v>Rất cao</x:v>
      </x:c>
      <x:c r="L46" s="144" t="str">
        <x:v>Chưa học</x:v>
      </x:c>
    </x:row>
    <x:row r="47">
      <x:c r="A47" s="144" t="str">
        <x:v>S02</x:v>
      </x:c>
      <x:c r="B47" s="144" t="str">
        <x:v>Kinh doanh / tài chính</x:v>
      </x:c>
      <x:c r="C47" s="145" t="str">
        <x:v>marketing budget</x:v>
      </x:c>
      <x:c r="D47" s="144" t="str">
        <x:v>ngân sách tiếp thị</x:v>
      </x:c>
      <x:c r="E47" s="144" t="str">
        <x:v>Cụm</x:v>
      </x:c>
      <x:c r="F47" s="144" t="str">
        <x:v>B1</x:v>
      </x:c>
      <x:c r="G47" s="144" t="str">
        <x:v>advertising budget</x:v>
      </x:c>
      <x:c r="H47" s="144" t="str">
        <x:v>increase the marketing budget</x:v>
      </x:c>
      <x:c r="I47" s="144" t="str"/>
      <x:c r="J47" s="144" t="str">
        <x:v>Part 7 Q172–175</x:v>
      </x:c>
      <x:c r="K47" s="144" t="str">
        <x:v>Rất cao</x:v>
      </x:c>
      <x:c r="L47" s="144" t="str">
        <x:v>Chưa học</x:v>
      </x:c>
    </x:row>
    <x:row r="48">
      <x:c r="A48" s="144" t="str">
        <x:v>S02</x:v>
      </x:c>
      <x:c r="B48" s="144" t="str">
        <x:v>Kinh doanh / tài chính</x:v>
      </x:c>
      <x:c r="C48" s="145" t="str">
        <x:v>volume discount</x:v>
      </x:c>
      <x:c r="D48" s="144" t="str">
        <x:v>chiết khấu theo số lượng</x:v>
      </x:c>
      <x:c r="E48" s="144" t="str">
        <x:v>Cụm</x:v>
      </x:c>
      <x:c r="F48" s="144" t="str">
        <x:v>B2</x:v>
      </x:c>
      <x:c r="G48" s="144" t="str">
        <x:v>bulk discount</x:v>
      </x:c>
      <x:c r="H48" s="144" t="str">
        <x:v>offer a substantial volume discount</x:v>
      </x:c>
      <x:c r="I48" s="144" t="str"/>
      <x:c r="J48" s="144" t="str">
        <x:v>Part 7 Q155–157</x:v>
      </x:c>
      <x:c r="K48" s="144" t="str">
        <x:v>Rất cao</x:v>
      </x:c>
      <x:c r="L48" s="144" t="str">
        <x:v>Chưa học</x:v>
      </x:c>
    </x:row>
    <x:row r="49">
      <x:c r="A49" s="146" t="str">
        <x:v>S02</x:v>
      </x:c>
      <x:c r="B49" s="146" t="str">
        <x:v>Kinh doanh / tài chính</x:v>
      </x:c>
      <x:c r="C49" s="147" t="str">
        <x:v>price quote</x:v>
      </x:c>
      <x:c r="D49" s="146" t="str">
        <x:v>báo giá</x:v>
      </x:c>
      <x:c r="E49" s="146" t="str">
        <x:v>Cụm</x:v>
      </x:c>
      <x:c r="F49" s="146" t="str">
        <x:v>B1</x:v>
      </x:c>
      <x:c r="G49" s="146" t="str">
        <x:v>cost estimate</x:v>
      </x:c>
      <x:c r="H49" s="146" t="str">
        <x:v>receive a free price quote</x:v>
      </x:c>
      <x:c r="I49" s="146" t="str"/>
      <x:c r="J49" s="146" t="str">
        <x:v>Part 7 Q155–157</x:v>
      </x:c>
      <x:c r="K49" s="146" t="str">
        <x:v>Rất cao</x:v>
      </x:c>
      <x:c r="L49" s="146" t="str">
        <x:v>Chưa học</x:v>
      </x:c>
    </x:row>
    <x:row r="50">
      <x:c r="A50" s="146" t="str">
        <x:v>S02</x:v>
      </x:c>
      <x:c r="B50" s="146" t="str">
        <x:v>Kinh doanh / tài chính</x:v>
      </x:c>
      <x:c r="C50" s="147" t="str">
        <x:v>bulk order</x:v>
      </x:c>
      <x:c r="D50" s="146" t="str">
        <x:v>đơn hàng số lượng lớn</x:v>
      </x:c>
      <x:c r="E50" s="146" t="str">
        <x:v>Cụm</x:v>
      </x:c>
      <x:c r="F50" s="146" t="str">
        <x:v>B2</x:v>
      </x:c>
      <x:c r="G50" s="146" t="str">
        <x:v>large order</x:v>
      </x:c>
      <x:c r="H50" s="146" t="str">
        <x:v>a price quote for a bulk order</x:v>
      </x:c>
      <x:c r="I50" s="146" t="str"/>
      <x:c r="J50" s="146" t="str">
        <x:v>Part 7 Q155–157</x:v>
      </x:c>
      <x:c r="K50" s="146" t="str">
        <x:v>Rất cao</x:v>
      </x:c>
      <x:c r="L50" s="146" t="str">
        <x:v>Chưa học</x:v>
      </x:c>
    </x:row>
    <x:row r="51">
      <x:c r="A51" s="146" t="str">
        <x:v>S02</x:v>
      </x:c>
      <x:c r="B51" s="146" t="str">
        <x:v>Kinh doanh / tài chính</x:v>
      </x:c>
      <x:c r="C51" s="147" t="str">
        <x:v>account fee</x:v>
      </x:c>
      <x:c r="D51" s="146" t="str">
        <x:v>phí tài khoản</x:v>
      </x:c>
      <x:c r="E51" s="146" t="str">
        <x:v>Cụm</x:v>
      </x:c>
      <x:c r="F51" s="146" t="str">
        <x:v>B1</x:v>
      </x:c>
      <x:c r="G51" s="146" t="str">
        <x:v>membership fee</x:v>
      </x:c>
      <x:c r="H51" s="146" t="str">
        <x:v>pay an initial account fee</x:v>
      </x:c>
      <x:c r="I51" s="146" t="str"/>
      <x:c r="J51" s="146" t="str">
        <x:v>Part 7 Q196–200</x:v>
      </x:c>
      <x:c r="K51" s="146" t="str">
        <x:v>Cao</x:v>
      </x:c>
      <x:c r="L51" s="146" t="str">
        <x:v>Chưa học</x:v>
      </x:c>
    </x:row>
    <x:row r="52">
      <x:c r="A52" s="146" t="str">
        <x:v>S02</x:v>
      </x:c>
      <x:c r="B52" s="146" t="str">
        <x:v>Kinh doanh / tài chính</x:v>
      </x:c>
      <x:c r="C52" s="147" t="str">
        <x:v>annual charge</x:v>
      </x:c>
      <x:c r="D52" s="146" t="str">
        <x:v>phí thường niên</x:v>
      </x:c>
      <x:c r="E52" s="146" t="str">
        <x:v>Cụm</x:v>
      </x:c>
      <x:c r="F52" s="146" t="str">
        <x:v>B1</x:v>
      </x:c>
      <x:c r="G52" s="146" t="str">
        <x:v>yearly fee</x:v>
      </x:c>
      <x:c r="H52" s="146" t="str">
        <x:v>be charged annually</x:v>
      </x:c>
      <x:c r="I52" s="146" t="str"/>
      <x:c r="J52" s="146" t="str">
        <x:v>Part 7 Q196–200</x:v>
      </x:c>
      <x:c r="K52" s="146" t="str">
        <x:v>Cao</x:v>
      </x:c>
      <x:c r="L52" s="146" t="str">
        <x:v>Chưa học</x:v>
      </x:c>
    </x:row>
    <x:row r="53">
      <x:c r="A53" s="146" t="str">
        <x:v>S03</x:v>
      </x:c>
      <x:c r="B53" s="146" t="str">
        <x:v>Công nghệ / dữ liệu</x:v>
      </x:c>
      <x:c r="C53" s="147" t="str">
        <x:v>data-driven</x:v>
      </x:c>
      <x:c r="D53" s="146" t="str">
        <x:v>dựa trên dữ liệu</x:v>
      </x:c>
      <x:c r="E53" s="146" t="str">
        <x:v>Adj</x:v>
      </x:c>
      <x:c r="F53" s="146" t="str">
        <x:v>B2</x:v>
      </x:c>
      <x:c r="G53" s="146" t="str">
        <x:v>evidence-based</x:v>
      </x:c>
      <x:c r="H53" s="146" t="str">
        <x:v>data-driven insights</x:v>
      </x:c>
      <x:c r="I53" s="146" t="str"/>
      <x:c r="J53" s="146" t="str">
        <x:v>Part 5 Q117</x:v>
      </x:c>
      <x:c r="K53" s="146" t="str">
        <x:v>Rất cao</x:v>
      </x:c>
      <x:c r="L53" s="146" t="str">
        <x:v>Chưa học</x:v>
      </x:c>
    </x:row>
    <x:row r="54">
      <x:c r="A54" s="146" t="str">
        <x:v>S03</x:v>
      </x:c>
      <x:c r="B54" s="146" t="str">
        <x:v>Công nghệ / dữ liệu</x:v>
      </x:c>
      <x:c r="C54" s="147" t="str">
        <x:v>insight</x:v>
      </x:c>
      <x:c r="D54" s="146" t="str">
        <x:v>thông tin chuyên sâu</x:v>
      </x:c>
      <x:c r="E54" s="146" t="str">
        <x:v>N</x:v>
      </x:c>
      <x:c r="F54" s="146" t="str">
        <x:v>B2</x:v>
      </x:c>
      <x:c r="G54" s="146" t="str">
        <x:v>understanding; finding</x:v>
      </x:c>
      <x:c r="H54" s="146" t="str">
        <x:v>provide data-driven insights</x:v>
      </x:c>
      <x:c r="I54" s="146" t="str"/>
      <x:c r="J54" s="146" t="str">
        <x:v>Part 5 Q117 / Part 7 Q161–163</x:v>
      </x:c>
      <x:c r="K54" s="146" t="str">
        <x:v>Cao</x:v>
      </x:c>
      <x:c r="L54" s="146" t="str">
        <x:v>Chưa học</x:v>
      </x:c>
    </x:row>
    <x:row r="55">
      <x:c r="A55" s="146" t="str">
        <x:v>S03</x:v>
      </x:c>
      <x:c r="B55" s="146" t="str">
        <x:v>Công nghệ / dữ liệu</x:v>
      </x:c>
      <x:c r="C55" s="147" t="str">
        <x:v>computer memory</x:v>
      </x:c>
      <x:c r="D55" s="146" t="str">
        <x:v>bộ nhớ máy tính</x:v>
      </x:c>
      <x:c r="E55" s="146" t="str">
        <x:v>Cụm</x:v>
      </x:c>
      <x:c r="F55" s="146" t="str">
        <x:v>B1</x:v>
      </x:c>
      <x:c r="G55" s="146" t="str">
        <x:v>system memory</x:v>
      </x:c>
      <x:c r="H55" s="146" t="str">
        <x:v>use computer memory efficiently</x:v>
      </x:c>
      <x:c r="I55" s="146" t="str"/>
      <x:c r="J55" s="146" t="str">
        <x:v>Part 5 Q122</x:v>
      </x:c>
      <x:c r="K55" s="146" t="str">
        <x:v>Cao</x:v>
      </x:c>
      <x:c r="L55" s="146" t="str">
        <x:v>Chưa học</x:v>
      </x:c>
    </x:row>
    <x:row r="56">
      <x:c r="A56" s="146" t="str">
        <x:v>S03</x:v>
      </x:c>
      <x:c r="B56" s="146" t="str">
        <x:v>Công nghệ / dữ liệu</x:v>
      </x:c>
      <x:c r="C56" s="147" t="str">
        <x:v>simultaneously</x:v>
      </x:c>
      <x:c r="D56" s="146" t="str">
        <x:v>đồng thời</x:v>
      </x:c>
      <x:c r="E56" s="146" t="str">
        <x:v>Adv</x:v>
      </x:c>
      <x:c r="F56" s="146" t="str">
        <x:v>B2</x:v>
      </x:c>
      <x:c r="G56" s="146" t="str">
        <x:v>at the same time</x:v>
      </x:c>
      <x:c r="H56" s="146" t="str">
        <x:v>open five files simultaneously</x:v>
      </x:c>
      <x:c r="I56" s="146" t="str">
        <x:v>simultaneous → simultaneously</x:v>
      </x:c>
      <x:c r="J56" s="146" t="str">
        <x:v>Part 5 Q122</x:v>
      </x:c>
      <x:c r="K56" s="146" t="str">
        <x:v>Rất cao</x:v>
      </x:c>
      <x:c r="L56" s="146" t="str">
        <x:v>Chưa học</x:v>
      </x:c>
    </x:row>
    <x:row r="57">
      <x:c r="A57" s="146" t="str">
        <x:v>S03</x:v>
      </x:c>
      <x:c r="B57" s="146" t="str">
        <x:v>Công nghệ / dữ liệu</x:v>
      </x:c>
      <x:c r="C57" s="147" t="str">
        <x:v>online payroll portal</x:v>
      </x:c>
      <x:c r="D57" s="146" t="str">
        <x:v>cổng thông tin lương trực tuyến</x:v>
      </x:c>
      <x:c r="E57" s="146" t="str">
        <x:v>Cụm</x:v>
      </x:c>
      <x:c r="F57" s="146" t="str">
        <x:v>B2</x:v>
      </x:c>
      <x:c r="G57" s="146" t="str">
        <x:v>payroll system</x:v>
      </x:c>
      <x:c r="H57" s="146" t="str">
        <x:v>access the online payroll portal</x:v>
      </x:c>
      <x:c r="I57" s="146" t="str"/>
      <x:c r="J57" s="146" t="str">
        <x:v>Part 6 Q143–146</x:v>
      </x:c>
      <x:c r="K57" s="146" t="str">
        <x:v>Rất cao</x:v>
      </x:c>
      <x:c r="L57" s="146" t="str">
        <x:v>Chưa học</x:v>
      </x:c>
    </x:row>
    <x:row r="58">
      <x:c r="A58" s="146" t="str">
        <x:v>S03</x:v>
      </x:c>
      <x:c r="B58" s="146" t="str">
        <x:v>Công nghệ / dữ liệu</x:v>
      </x:c>
      <x:c r="C58" s="147" t="str">
        <x:v>software upgrade</x:v>
      </x:c>
      <x:c r="D58" s="146" t="str">
        <x:v>bản nâng cấp phần mềm</x:v>
      </x:c>
      <x:c r="E58" s="146" t="str">
        <x:v>Cụm</x:v>
      </x:c>
      <x:c r="F58" s="146" t="str">
        <x:v>B1</x:v>
      </x:c>
      <x:c r="G58" s="146" t="str">
        <x:v>system update</x:v>
      </x:c>
      <x:c r="H58" s="146" t="str">
        <x:v>allow for a software upgrade</x:v>
      </x:c>
      <x:c r="I58" s="146" t="str">
        <x:v>upgrade → upgraded</x:v>
      </x:c>
      <x:c r="J58" s="146" t="str">
        <x:v>Part 6 Q143–146</x:v>
      </x:c>
      <x:c r="K58" s="146" t="str">
        <x:v>Rất cao</x:v>
      </x:c>
      <x:c r="L58" s="146" t="str">
        <x:v>Chưa học</x:v>
      </x:c>
    </x:row>
    <x:row r="59">
      <x:c r="A59" s="146" t="str">
        <x:v>S03</x:v>
      </x:c>
      <x:c r="B59" s="146" t="str">
        <x:v>Công nghệ / dữ liệu</x:v>
      </x:c>
      <x:c r="C59" s="147" t="str">
        <x:v>direct deposit</x:v>
      </x:c>
      <x:c r="D59" s="146" t="str">
        <x:v>chuyển lương trực tiếp vào tài khoản</x:v>
      </x:c>
      <x:c r="E59" s="146" t="str">
        <x:v>Cụm</x:v>
      </x:c>
      <x:c r="F59" s="146" t="str">
        <x:v>B2</x:v>
      </x:c>
      <x:c r="G59" s="146" t="str">
        <x:v>electronic deposit</x:v>
      </x:c>
      <x:c r="H59" s="146" t="str">
        <x:v>manage direct deposit preferences</x:v>
      </x:c>
      <x:c r="I59" s="146" t="str"/>
      <x:c r="J59" s="146" t="str">
        <x:v>Part 6 Q143–146</x:v>
      </x:c>
      <x:c r="K59" s="146" t="str">
        <x:v>Rất cao</x:v>
      </x:c>
      <x:c r="L59" s="146" t="str">
        <x:v>Chưa học</x:v>
      </x:c>
    </x:row>
    <x:row r="60">
      <x:c r="A60" s="146" t="str">
        <x:v>S03</x:v>
      </x:c>
      <x:c r="B60" s="146" t="str">
        <x:v>Công nghệ / dữ liệu</x:v>
      </x:c>
      <x:c r="C60" s="147" t="str">
        <x:v>live-chat function</x:v>
      </x:c>
      <x:c r="D60" s="146" t="str">
        <x:v>chức năng trò chuyện trực tiếp</x:v>
      </x:c>
      <x:c r="E60" s="146" t="str">
        <x:v>Cụm</x:v>
      </x:c>
      <x:c r="F60" s="146" t="str">
        <x:v>B1</x:v>
      </x:c>
      <x:c r="G60" s="146" t="str">
        <x:v>live support</x:v>
      </x:c>
      <x:c r="H60" s="146" t="str">
        <x:v>feature a live-chat function</x:v>
      </x:c>
      <x:c r="I60" s="146" t="str"/>
      <x:c r="J60" s="146" t="str">
        <x:v>Part 6 Q143–146</x:v>
      </x:c>
      <x:c r="K60" s="146" t="str">
        <x:v>Cao</x:v>
      </x:c>
      <x:c r="L60" s="146" t="str">
        <x:v>Chưa học</x:v>
      </x:c>
    </x:row>
    <x:row r="61">
      <x:c r="A61" s="146" t="str">
        <x:v>S03</x:v>
      </x:c>
      <x:c r="B61" s="146" t="str">
        <x:v>Công nghệ / dữ liệu</x:v>
      </x:c>
      <x:c r="C61" s="147" t="str">
        <x:v>optimize</x:v>
      </x:c>
      <x:c r="D61" s="146" t="str">
        <x:v>tối ưu hóa</x:v>
      </x:c>
      <x:c r="E61" s="146" t="str">
        <x:v>V</x:v>
      </x:c>
      <x:c r="F61" s="146" t="str">
        <x:v>B2</x:v>
      </x:c>
      <x:c r="G61" s="146" t="str">
        <x:v>improve; enhance</x:v>
      </x:c>
      <x:c r="H61" s="146" t="str">
        <x:v>optimize department services</x:v>
      </x:c>
      <x:c r="I61" s="146" t="str">
        <x:v>optimal → optimize → optimization</x:v>
      </x:c>
      <x:c r="J61" s="146" t="str">
        <x:v>Part 6 Q143–146</x:v>
      </x:c>
      <x:c r="K61" s="146" t="str">
        <x:v>Rất cao</x:v>
      </x:c>
      <x:c r="L61" s="146" t="str">
        <x:v>Chưa học</x:v>
      </x:c>
    </x:row>
    <x:row r="62">
      <x:c r="A62" s="146" t="str">
        <x:v>S03</x:v>
      </x:c>
      <x:c r="B62" s="146" t="str">
        <x:v>Công nghệ / dữ liệu</x:v>
      </x:c>
      <x:c r="C62" s="147" t="str">
        <x:v>mobile app</x:v>
      </x:c>
      <x:c r="D62" s="146" t="str">
        <x:v>ứng dụng di động</x:v>
      </x:c>
      <x:c r="E62" s="146" t="str">
        <x:v>Cụm</x:v>
      </x:c>
      <x:c r="F62" s="146" t="str">
        <x:v>B1</x:v>
      </x:c>
      <x:c r="G62" s="146" t="str">
        <x:v>smartphone application</x:v>
      </x:c>
      <x:c r="H62" s="146" t="str">
        <x:v>use a mobile app</x:v>
      </x:c>
      <x:c r="I62" s="146" t="str"/>
      <x:c r="J62" s="146" t="str">
        <x:v>Part 7 Q153–154</x:v>
      </x:c>
      <x:c r="K62" s="146" t="str">
        <x:v>Cao</x:v>
      </x:c>
      <x:c r="L62" s="146" t="str">
        <x:v>Chưa học</x:v>
      </x:c>
    </x:row>
    <x:row r="63">
      <x:c r="A63" s="146" t="str">
        <x:v>S03</x:v>
      </x:c>
      <x:c r="B63" s="146" t="str">
        <x:v>Công nghệ / dữ liệu</x:v>
      </x:c>
      <x:c r="C63" s="147" t="str">
        <x:v>storage location</x:v>
      </x:c>
      <x:c r="D63" s="146" t="str">
        <x:v>địa điểm lưu trữ</x:v>
      </x:c>
      <x:c r="E63" s="146" t="str">
        <x:v>Cụm</x:v>
      </x:c>
      <x:c r="F63" s="146" t="str">
        <x:v>B1</x:v>
      </x:c>
      <x:c r="G63" s="146" t="str">
        <x:v>warehouse space</x:v>
      </x:c>
      <x:c r="H63" s="146" t="str">
        <x:v>find available storage locations</x:v>
      </x:c>
      <x:c r="I63" s="146" t="str"/>
      <x:c r="J63" s="146" t="str">
        <x:v>Part 7 Q153–154</x:v>
      </x:c>
      <x:c r="K63" s="146" t="str">
        <x:v>Cao</x:v>
      </x:c>
      <x:c r="L63" s="146" t="str">
        <x:v>Chưa học</x:v>
      </x:c>
    </x:row>
    <x:row r="64">
      <x:c r="A64" s="148" t="str">
        <x:v>S03</x:v>
      </x:c>
      <x:c r="B64" s="148" t="str">
        <x:v>Công nghệ / dữ liệu</x:v>
      </x:c>
      <x:c r="C64" s="149" t="str">
        <x:v>inventory work</x:v>
      </x:c>
      <x:c r="D64" s="148" t="str">
        <x:v>công việc kiểm kê</x:v>
      </x:c>
      <x:c r="E64" s="148" t="str">
        <x:v>Cụm</x:v>
      </x:c>
      <x:c r="F64" s="148" t="str">
        <x:v>B1</x:v>
      </x:c>
      <x:c r="G64" s="148" t="str">
        <x:v>stocktaking</x:v>
      </x:c>
      <x:c r="H64" s="148" t="str">
        <x:v>complete inventory work</x:v>
      </x:c>
      <x:c r="I64" s="148" t="str">
        <x:v>inventory → inventoried</x:v>
      </x:c>
      <x:c r="J64" s="148" t="str">
        <x:v>Part 7 Q153–154</x:v>
      </x:c>
      <x:c r="K64" s="148" t="str">
        <x:v>Cao</x:v>
      </x:c>
      <x:c r="L64" s="148" t="str">
        <x:v>Chưa học</x:v>
      </x:c>
    </x:row>
    <x:row r="65">
      <x:c r="A65" s="148" t="str">
        <x:v>S03</x:v>
      </x:c>
      <x:c r="B65" s="148" t="str">
        <x:v>Công nghệ / dữ liệu</x:v>
      </x:c>
      <x:c r="C65" s="149" t="str">
        <x:v>ergonomic</x:v>
      </x:c>
      <x:c r="D65" s="148" t="str">
        <x:v>thuộc công thái học</x:v>
      </x:c>
      <x:c r="E65" s="148" t="str">
        <x:v>Adj</x:v>
      </x:c>
      <x:c r="F65" s="148" t="str">
        <x:v>C1</x:v>
      </x:c>
      <x:c r="G65" s="148" t="str">
        <x:v>user-friendly; body-supporting</x:v>
      </x:c>
      <x:c r="H65" s="148" t="str">
        <x:v>ergonomic laptop stands</x:v>
      </x:c>
      <x:c r="I65" s="148" t="str">
        <x:v>ergonomics → ergonomic</x:v>
      </x:c>
      <x:c r="J65" s="148" t="str">
        <x:v>Part 7 Q155–157</x:v>
      </x:c>
      <x:c r="K65" s="148" t="str">
        <x:v>Rất cao</x:v>
      </x:c>
      <x:c r="L65" s="148" t="str">
        <x:v>Chưa học</x:v>
      </x:c>
    </x:row>
    <x:row r="66">
      <x:c r="A66" s="148" t="str">
        <x:v>S03</x:v>
      </x:c>
      <x:c r="B66" s="148" t="str">
        <x:v>Công nghệ / dữ liệu</x:v>
      </x:c>
      <x:c r="C66" s="149" t="str">
        <x:v>laptop stand</x:v>
      </x:c>
      <x:c r="D66" s="148" t="str">
        <x:v>giá đỡ máy tính xách tay</x:v>
      </x:c>
      <x:c r="E66" s="148" t="str">
        <x:v>Cụm</x:v>
      </x:c>
      <x:c r="F66" s="148" t="str">
        <x:v>B1</x:v>
      </x:c>
      <x:c r="G66" s="148" t="str">
        <x:v>notebook stand</x:v>
      </x:c>
      <x:c r="H66" s="148" t="str">
        <x:v>manufacture laptop stands</x:v>
      </x:c>
      <x:c r="I66" s="148" t="str"/>
      <x:c r="J66" s="148" t="str">
        <x:v>Part 7 Q155–157</x:v>
      </x:c>
      <x:c r="K66" s="148" t="str">
        <x:v>Cao</x:v>
      </x:c>
      <x:c r="L66" s="148" t="str">
        <x:v>Chưa học</x:v>
      </x:c>
    </x:row>
    <x:row r="67">
      <x:c r="A67" s="148" t="str">
        <x:v>S03</x:v>
      </x:c>
      <x:c r="B67" s="148" t="str">
        <x:v>Công nghệ / dữ liệu</x:v>
      </x:c>
      <x:c r="C67" s="149" t="str">
        <x:v>adjustable standing desk</x:v>
      </x:c>
      <x:c r="D67" s="148" t="str">
        <x:v>bàn đứng điều chỉnh được</x:v>
      </x:c>
      <x:c r="E67" s="148" t="str">
        <x:v>Cụm</x:v>
      </x:c>
      <x:c r="F67" s="148" t="str">
        <x:v>B2</x:v>
      </x:c>
      <x:c r="G67" s="148" t="str">
        <x:v>height-adjustable desk</x:v>
      </x:c>
      <x:c r="H67" s="148" t="str">
        <x:v>adjustable standing desks</x:v>
      </x:c>
      <x:c r="I67" s="148" t="str">
        <x:v>adjust → adjustable</x:v>
      </x:c>
      <x:c r="J67" s="148" t="str">
        <x:v>Part 7 Q155–157</x:v>
      </x:c>
      <x:c r="K67" s="148" t="str">
        <x:v>Cao</x:v>
      </x:c>
      <x:c r="L67" s="148" t="str">
        <x:v>Chưa học</x:v>
      </x:c>
    </x:row>
    <x:row r="68">
      <x:c r="A68" s="148" t="str">
        <x:v>S03</x:v>
      </x:c>
      <x:c r="B68" s="148" t="str">
        <x:v>Công nghệ / dữ liệu</x:v>
      </x:c>
      <x:c r="C68" s="149" t="str">
        <x:v>product assessment</x:v>
      </x:c>
      <x:c r="D68" s="148" t="str">
        <x:v>đánh giá sản phẩm</x:v>
      </x:c>
      <x:c r="E68" s="148" t="str">
        <x:v>Cụm</x:v>
      </x:c>
      <x:c r="F68" s="148" t="str">
        <x:v>B2</x:v>
      </x:c>
      <x:c r="G68" s="148" t="str">
        <x:v>product review</x:v>
      </x:c>
      <x:c r="H68" s="148" t="str">
        <x:v>independent assessments</x:v>
      </x:c>
      <x:c r="I68" s="148" t="str">
        <x:v>assess → assessment</x:v>
      </x:c>
      <x:c r="J68" s="148" t="str">
        <x:v>Part 7 Q155–157</x:v>
      </x:c>
      <x:c r="K68" s="148" t="str">
        <x:v>Cao</x:v>
      </x:c>
      <x:c r="L68" s="148" t="str">
        <x:v>Chưa học</x:v>
      </x:c>
    </x:row>
    <x:row r="69">
      <x:c r="A69" s="148" t="str">
        <x:v>S03</x:v>
      </x:c>
      <x:c r="B69" s="148" t="str">
        <x:v>Công nghệ / dữ liệu</x:v>
      </x:c>
      <x:c r="C69" s="149" t="str">
        <x:v>data security training</x:v>
      </x:c>
      <x:c r="D69" s="148" t="str">
        <x:v>đào tạo bảo mật dữ liệu</x:v>
      </x:c>
      <x:c r="E69" s="148" t="str">
        <x:v>Cụm</x:v>
      </x:c>
      <x:c r="F69" s="148" t="str">
        <x:v>B2</x:v>
      </x:c>
      <x:c r="G69" s="148" t="str">
        <x:v>information-security training</x:v>
      </x:c>
      <x:c r="H69" s="148" t="str">
        <x:v>attend data security training</x:v>
      </x:c>
      <x:c r="I69" s="148" t="str"/>
      <x:c r="J69" s="148" t="str">
        <x:v>Part 7 Q191–195</x:v>
      </x:c>
      <x:c r="K69" s="148" t="str">
        <x:v>Rất cao</x:v>
      </x:c>
      <x:c r="L69" s="148" t="str">
        <x:v>Chưa học</x:v>
      </x:c>
    </x:row>
    <x:row r="70">
      <x:c r="A70" s="148" t="str">
        <x:v>S03</x:v>
      </x:c>
      <x:c r="B70" s="148" t="str">
        <x:v>Công nghệ / dữ liệu</x:v>
      </x:c>
      <x:c r="C70" s="149" t="str">
        <x:v>technology update</x:v>
      </x:c>
      <x:c r="D70" s="148" t="str">
        <x:v>bản cập nhật công nghệ</x:v>
      </x:c>
      <x:c r="E70" s="148" t="str">
        <x:v>Cụm</x:v>
      </x:c>
      <x:c r="F70" s="148" t="str">
        <x:v>B1</x:v>
      </x:c>
      <x:c r="G70" s="148" t="str">
        <x:v>technical update</x:v>
      </x:c>
      <x:c r="H70" s="148" t="str">
        <x:v>meeting about technology updates</x:v>
      </x:c>
      <x:c r="I70" s="148" t="str"/>
      <x:c r="J70" s="148" t="str">
        <x:v>Part 7 Q191–195</x:v>
      </x:c>
      <x:c r="K70" s="148" t="str">
        <x:v>Cao</x:v>
      </x:c>
      <x:c r="L70" s="148" t="str">
        <x:v>Chưa học</x:v>
      </x:c>
    </x:row>
    <x:row r="71">
      <x:c r="A71" s="148" t="str">
        <x:v>S03</x:v>
      </x:c>
      <x:c r="B71" s="148" t="str">
        <x:v>Công nghệ / dữ liệu</x:v>
      </x:c>
      <x:c r="C71" s="149" t="str">
        <x:v>video recording</x:v>
      </x:c>
      <x:c r="D71" s="148" t="str">
        <x:v>bản ghi hình</x:v>
      </x:c>
      <x:c r="E71" s="148" t="str">
        <x:v>Cụm</x:v>
      </x:c>
      <x:c r="F71" s="148" t="str">
        <x:v>B1</x:v>
      </x:c>
      <x:c r="G71" s="148" t="str">
        <x:v>video sample</x:v>
      </x:c>
      <x:c r="H71" s="148" t="str">
        <x:v>upload a video recording</x:v>
      </x:c>
      <x:c r="I71" s="148" t="str">
        <x:v>record → recording</x:v>
      </x:c>
      <x:c r="J71" s="148" t="str">
        <x:v>Part 7 Q196–200</x:v>
      </x:c>
      <x:c r="K71" s="148" t="str">
        <x:v>Rất cao</x:v>
      </x:c>
      <x:c r="L71" s="148" t="str">
        <x:v>Chưa học</x:v>
      </x:c>
    </x:row>
    <x:row r="72">
      <x:c r="A72" s="148" t="str">
        <x:v>S04</x:v>
      </x:c>
      <x:c r="B72" s="148" t="str">
        <x:v>Thời gian / lịch trình</x:v>
      </x:c>
      <x:c r="C72" s="149" t="str">
        <x:v>monthly basis</x:v>
      </x:c>
      <x:c r="D72" s="148" t="str">
        <x:v>hằng tháng</x:v>
      </x:c>
      <x:c r="E72" s="148" t="str">
        <x:v>Cụm</x:v>
      </x:c>
      <x:c r="F72" s="148" t="str">
        <x:v>B1</x:v>
      </x:c>
      <x:c r="G72" s="148" t="str">
        <x:v>every month</x:v>
      </x:c>
      <x:c r="H72" s="148" t="str">
        <x:v>booked on a monthly basis</x:v>
      </x:c>
      <x:c r="I72" s="148" t="str"/>
      <x:c r="J72" s="148" t="str">
        <x:v>Part 5 Q109</x:v>
      </x:c>
      <x:c r="K72" s="148" t="str">
        <x:v>Cao</x:v>
      </x:c>
      <x:c r="L72" s="148" t="str">
        <x:v>Chưa học</x:v>
      </x:c>
    </x:row>
    <x:row r="73">
      <x:c r="A73" s="148" t="str">
        <x:v>S04</x:v>
      </x:c>
      <x:c r="B73" s="148" t="str">
        <x:v>Thời gian / lịch trình</x:v>
      </x:c>
      <x:c r="C73" s="149" t="str">
        <x:v>over the past ten years</x:v>
      </x:c>
      <x:c r="D73" s="148" t="str">
        <x:v>trong mười năm qua</x:v>
      </x:c>
      <x:c r="E73" s="148" t="str">
        <x:v>Cụm</x:v>
      </x:c>
      <x:c r="F73" s="148" t="str">
        <x:v>B1</x:v>
      </x:c>
      <x:c r="G73" s="148" t="str">
        <x:v>during the last decade</x:v>
      </x:c>
      <x:c r="H73" s="148" t="str">
        <x:v>changes over the past ten years</x:v>
      </x:c>
      <x:c r="I73" s="148" t="str"/>
      <x:c r="J73" s="148" t="str">
        <x:v>Part 5 Q126</x:v>
      </x:c>
      <x:c r="K73" s="148" t="str">
        <x:v>Cao</x:v>
      </x:c>
      <x:c r="L73" s="148" t="str">
        <x:v>Chưa học</x:v>
      </x:c>
    </x:row>
    <x:row r="74">
      <x:c r="A74" s="148" t="str">
        <x:v>S04</x:v>
      </x:c>
      <x:c r="B74" s="148" t="str">
        <x:v>Thời gian / lịch trình</x:v>
      </x:c>
      <x:c r="C74" s="149" t="str">
        <x:v>long before</x:v>
      </x:c>
      <x:c r="D74" s="148" t="str">
        <x:v>rất lâu trước khi</x:v>
      </x:c>
      <x:c r="E74" s="148" t="str">
        <x:v>Cụm</x:v>
      </x:c>
      <x:c r="F74" s="148" t="str">
        <x:v>B1</x:v>
      </x:c>
      <x:c r="G74" s="148" t="str">
        <x:v>well before</x:v>
      </x:c>
      <x:c r="H74" s="148" t="str">
        <x:v>long before the program began</x:v>
      </x:c>
      <x:c r="I74" s="148" t="str"/>
      <x:c r="J74" s="148" t="str">
        <x:v>Part 5 Q129</x:v>
      </x:c>
      <x:c r="K74" s="148" t="str">
        <x:v>Cao</x:v>
      </x:c>
      <x:c r="L74" s="148" t="str">
        <x:v>Chưa học</x:v>
      </x:c>
    </x:row>
    <x:row r="75">
      <x:c r="A75" s="148" t="str">
        <x:v>S04</x:v>
      </x:c>
      <x:c r="B75" s="148" t="str">
        <x:v>Thời gian / lịch trình</x:v>
      </x:c>
      <x:c r="C75" s="149" t="str">
        <x:v>limited time</x:v>
      </x:c>
      <x:c r="D75" s="148" t="str">
        <x:v>thời gian có hạn</x:v>
      </x:c>
      <x:c r="E75" s="148" t="str">
        <x:v>Cụm</x:v>
      </x:c>
      <x:c r="F75" s="148" t="str">
        <x:v>B1</x:v>
      </x:c>
      <x:c r="G75" s="148" t="str">
        <x:v>short period</x:v>
      </x:c>
      <x:c r="H75" s="148" t="str">
        <x:v>double rewards for a limited time</x:v>
      </x:c>
      <x:c r="I75" s="148" t="str"/>
      <x:c r="J75" s="148" t="str">
        <x:v>Part 6 Q131–134</x:v>
      </x:c>
      <x:c r="K75" s="148" t="str">
        <x:v>Cao</x:v>
      </x:c>
      <x:c r="L75" s="148" t="str">
        <x:v>Chưa học</x:v>
      </x:c>
    </x:row>
    <x:row r="76">
      <x:c r="A76" s="148" t="str">
        <x:v>S04</x:v>
      </x:c>
      <x:c r="B76" s="148" t="str">
        <x:v>Thời gian / lịch trình</x:v>
      </x:c>
      <x:c r="C76" s="149" t="str">
        <x:v>final day</x:v>
      </x:c>
      <x:c r="D76" s="148" t="str">
        <x:v>ngày cuối cùng</x:v>
      </x:c>
      <x:c r="E76" s="148" t="str">
        <x:v>Cụm</x:v>
      </x:c>
      <x:c r="F76" s="148" t="str">
        <x:v>B1</x:v>
      </x:c>
      <x:c r="G76" s="148" t="str">
        <x:v>last day</x:v>
      </x:c>
      <x:c r="H76" s="148" t="str">
        <x:v>her final day with the team</x:v>
      </x:c>
      <x:c r="I76" s="148" t="str"/>
      <x:c r="J76" s="148" t="str">
        <x:v>Part 6 Q135–138</x:v>
      </x:c>
      <x:c r="K76" s="148" t="str">
        <x:v>Cao</x:v>
      </x:c>
      <x:c r="L76" s="148" t="str">
        <x:v>Chưa học</x:v>
      </x:c>
    </x:row>
    <x:row r="77">
      <x:c r="A77" s="148" t="str">
        <x:v>S04</x:v>
      </x:c>
      <x:c r="B77" s="148" t="str">
        <x:v>Thời gian / lịch trình</x:v>
      </x:c>
      <x:c r="C77" s="149" t="str">
        <x:v>from the outset</x:v>
      </x:c>
      <x:c r="D77" s="148" t="str">
        <x:v>ngay từ đầu</x:v>
      </x:c>
      <x:c r="E77" s="148" t="str">
        <x:v>Cụm</x:v>
      </x:c>
      <x:c r="F77" s="148" t="str">
        <x:v>B2</x:v>
      </x:c>
      <x:c r="G77" s="148" t="str">
        <x:v>from the beginning</x:v>
      </x:c>
      <x:c r="H77" s="148" t="str">
        <x:v>reveal the strength from the outset</x:v>
      </x:c>
      <x:c r="I77" s="148" t="str"/>
      <x:c r="J77" s="148" t="str">
        <x:v>Part 6 Q139–142</x:v>
      </x:c>
      <x:c r="K77" s="148" t="str">
        <x:v>Rất cao</x:v>
      </x:c>
      <x:c r="L77" s="148" t="str">
        <x:v>Chưa học</x:v>
      </x:c>
    </x:row>
    <x:row r="78">
      <x:c r="A78" s="148" t="str">
        <x:v>S04</x:v>
      </x:c>
      <x:c r="B78" s="148" t="str">
        <x:v>Thời gian / lịch trình</x:v>
      </x:c>
      <x:c r="C78" s="149" t="str">
        <x:v>temporary rental terms</x:v>
      </x:c>
      <x:c r="D78" s="148" t="str">
        <x:v>điều khoản thuê tạm thời</x:v>
      </x:c>
      <x:c r="E78" s="148" t="str">
        <x:v>Cụm</x:v>
      </x:c>
      <x:c r="F78" s="148" t="str">
        <x:v>B2</x:v>
      </x:c>
      <x:c r="G78" s="148" t="str">
        <x:v>short-term lease</x:v>
      </x:c>
      <x:c r="H78" s="148" t="str">
        <x:v>offer temporary rental terms</x:v>
      </x:c>
      <x:c r="I78" s="148" t="str"/>
      <x:c r="J78" s="148" t="str">
        <x:v>Part 7 Q153–154</x:v>
      </x:c>
      <x:c r="K78" s="148" t="str">
        <x:v>Cao</x:v>
      </x:c>
      <x:c r="L78" s="148" t="str">
        <x:v>Chưa học</x:v>
      </x:c>
    </x:row>
    <x:row r="79">
      <x:c r="A79" s="148" t="str">
        <x:v>S04</x:v>
      </x:c>
      <x:c r="B79" s="148" t="str">
        <x:v>Thời gian / lịch trình</x:v>
      </x:c>
      <x:c r="C79" s="149" t="str">
        <x:v>within 24 hours</x:v>
      </x:c>
      <x:c r="D79" s="148" t="str">
        <x:v>trong vòng 24 giờ</x:v>
      </x:c>
      <x:c r="E79" s="148" t="str">
        <x:v>Cụm</x:v>
      </x:c>
      <x:c r="F79" s="148" t="str">
        <x:v>B1</x:v>
      </x:c>
      <x:c r="G79" s="148" t="str">
        <x:v>by the next day</x:v>
      </x:c>
      <x:c r="H79" s="148" t="str">
        <x:v>respond within 24 hours</x:v>
      </x:c>
      <x:c r="I79" s="148" t="str"/>
      <x:c r="J79" s="148" t="str">
        <x:v>Part 7 Q155–157</x:v>
      </x:c>
      <x:c r="K79" s="148" t="str">
        <x:v>Rất cao</x:v>
      </x:c>
      <x:c r="L79" s="148" t="str">
        <x:v>Chưa học</x:v>
      </x:c>
    </x:row>
    <x:row r="80">
      <x:c r="A80" s="150" t="str">
        <x:v>S04</x:v>
      </x:c>
      <x:c r="B80" s="150" t="str">
        <x:v>Thời gian / lịch trình</x:v>
      </x:c>
      <x:c r="C80" s="151" t="str">
        <x:v>no later than</x:v>
      </x:c>
      <x:c r="D80" s="150" t="str">
        <x:v>không muộn hơn</x:v>
      </x:c>
      <x:c r="E80" s="150" t="str">
        <x:v>Cụm</x:v>
      </x:c>
      <x:c r="F80" s="150" t="str">
        <x:v>B1</x:v>
      </x:c>
      <x:c r="G80" s="150" t="str">
        <x:v>by; before the deadline</x:v>
      </x:c>
      <x:c r="H80" s="150" t="str">
        <x:v>respond no later than October 20</x:v>
      </x:c>
      <x:c r="I80" s="150" t="str"/>
      <x:c r="J80" s="150" t="str">
        <x:v>Part 7 Q151–152</x:v>
      </x:c>
      <x:c r="K80" s="150" t="str">
        <x:v>Rất cao</x:v>
      </x:c>
      <x:c r="L80" s="150" t="str">
        <x:v>Chưa học</x:v>
      </x:c>
    </x:row>
    <x:row r="81">
      <x:c r="A81" s="150" t="str">
        <x:v>S04</x:v>
      </x:c>
      <x:c r="B81" s="150" t="str">
        <x:v>Thời gian / lịch trình</x:v>
      </x:c>
      <x:c r="C81" s="151" t="str">
        <x:v>short notice</x:v>
      </x:c>
      <x:c r="D81" s="150" t="str">
        <x:v>thời gian báo trước rất ngắn</x:v>
      </x:c>
      <x:c r="E81" s="150" t="str">
        <x:v>Cụm</x:v>
      </x:c>
      <x:c r="F81" s="150" t="str">
        <x:v>B2</x:v>
      </x:c>
      <x:c r="G81" s="150" t="str">
        <x:v>little advance warning</x:v>
      </x:c>
      <x:c r="H81" s="150" t="str">
        <x:v>hire singers at short notice</x:v>
      </x:c>
      <x:c r="I81" s="150" t="str"/>
      <x:c r="J81" s="150" t="str">
        <x:v>Part 7 Q196–200</x:v>
      </x:c>
      <x:c r="K81" s="150" t="str">
        <x:v>Rất cao</x:v>
      </x:c>
      <x:c r="L81" s="150" t="str">
        <x:v>Chưa học</x:v>
      </x:c>
    </x:row>
    <x:row r="82">
      <x:c r="A82" s="150" t="str">
        <x:v>S04</x:v>
      </x:c>
      <x:c r="B82" s="150" t="str">
        <x:v>Thời gian / lịch trình</x:v>
      </x:c>
      <x:c r="C82" s="151" t="str">
        <x:v>time constraint</x:v>
      </x:c>
      <x:c r="D82" s="150" t="str">
        <x:v>hạn chế về thời gian</x:v>
      </x:c>
      <x:c r="E82" s="150" t="str">
        <x:v>Cụm</x:v>
      </x:c>
      <x:c r="F82" s="150" t="str">
        <x:v>B2</x:v>
      </x:c>
      <x:c r="G82" s="150" t="str">
        <x:v>deadline pressure</x:v>
      </x:c>
      <x:c r="H82" s="150" t="str">
        <x:v>given our time constraints</x:v>
      </x:c>
      <x:c r="I82" s="150" t="str"/>
      <x:c r="J82" s="150" t="str">
        <x:v>Part 7 Q196–200</x:v>
      </x:c>
      <x:c r="K82" s="150" t="str">
        <x:v>Rất cao</x:v>
      </x:c>
      <x:c r="L82" s="150" t="str">
        <x:v>Chưa học</x:v>
      </x:c>
    </x:row>
    <x:row r="83">
      <x:c r="A83" s="150" t="str">
        <x:v>S04</x:v>
      </x:c>
      <x:c r="B83" s="150" t="str">
        <x:v>Thời gian / lịch trình</x:v>
      </x:c>
      <x:c r="C83" s="151" t="str">
        <x:v>annual</x:v>
      </x:c>
      <x:c r="D83" s="150" t="str">
        <x:v>hằng năm</x:v>
      </x:c>
      <x:c r="E83" s="150" t="str">
        <x:v>Adj</x:v>
      </x:c>
      <x:c r="F83" s="150" t="str">
        <x:v>B1</x:v>
      </x:c>
      <x:c r="G83" s="150" t="str">
        <x:v>yearly</x:v>
      </x:c>
      <x:c r="H83" s="150" t="str">
        <x:v>be charged annually</x:v>
      </x:c>
      <x:c r="I83" s="150" t="str">
        <x:v>annually → annual</x:v>
      </x:c>
      <x:c r="J83" s="150" t="str">
        <x:v>Part 6 Q131–134 / Part 7 Q196–200</x:v>
      </x:c>
      <x:c r="K83" s="150" t="str">
        <x:v>Cao</x:v>
      </x:c>
      <x:c r="L83" s="150" t="str">
        <x:v>Chưa học</x:v>
      </x:c>
    </x:row>
    <x:row r="84">
      <x:c r="A84" s="150" t="str">
        <x:v>S05</x:v>
      </x:c>
      <x:c r="B84" s="150" t="str">
        <x:v>Marketing / truyền thông</x:v>
      </x:c>
      <x:c r="C84" s="151" t="str">
        <x:v>newsletter</x:v>
      </x:c>
      <x:c r="D84" s="150" t="str">
        <x:v>bản tin định kỳ</x:v>
      </x:c>
      <x:c r="E84" s="150" t="str">
        <x:v>N</x:v>
      </x:c>
      <x:c r="F84" s="150" t="str">
        <x:v>B1</x:v>
      </x:c>
      <x:c r="G84" s="150" t="str">
        <x:v>bulletin</x:v>
      </x:c>
      <x:c r="H84" s="150" t="str">
        <x:v>a monthly newsletter</x:v>
      </x:c>
      <x:c r="I84" s="150" t="str">
        <x:v>news + letter</x:v>
      </x:c>
      <x:c r="J84" s="150" t="str">
        <x:v>Part 5 Q123</x:v>
      </x:c>
      <x:c r="K84" s="150" t="str">
        <x:v>Rất cao</x:v>
      </x:c>
      <x:c r="L84" s="150" t="str">
        <x:v>Chưa học</x:v>
      </x:c>
    </x:row>
    <x:row r="85">
      <x:c r="A85" s="150" t="str">
        <x:v>S05</x:v>
      </x:c>
      <x:c r="B85" s="150" t="str">
        <x:v>Marketing / truyền thông</x:v>
      </x:c>
      <x:c r="C85" s="151" t="str">
        <x:v>promote</x:v>
      </x:c>
      <x:c r="D85" s="150" t="str">
        <x:v>quảng bá / thúc đẩy</x:v>
      </x:c>
      <x:c r="E85" s="150" t="str">
        <x:v>V</x:v>
      </x:c>
      <x:c r="F85" s="150" t="str">
        <x:v>B1</x:v>
      </x:c>
      <x:c r="G85" s="150" t="str">
        <x:v>advertise; publicize</x:v>
      </x:c>
      <x:c r="H85" s="150" t="str">
        <x:v>promote activities and events</x:v>
      </x:c>
      <x:c r="I85" s="150" t="str">
        <x:v>promotion → promotional</x:v>
      </x:c>
      <x:c r="J85" s="150" t="str">
        <x:v>Part 5 Q123</x:v>
      </x:c>
      <x:c r="K85" s="150" t="str">
        <x:v>Rất cao</x:v>
      </x:c>
      <x:c r="L85" s="150" t="str">
        <x:v>Chưa học</x:v>
      </x:c>
    </x:row>
    <x:row r="86">
      <x:c r="A86" s="150" t="str">
        <x:v>S05</x:v>
      </x:c>
      <x:c r="B86" s="150" t="str">
        <x:v>Marketing / truyền thông</x:v>
      </x:c>
      <x:c r="C86" s="151" t="str">
        <x:v>pitch</x:v>
      </x:c>
      <x:c r="D86" s="150" t="str">
        <x:v>bài chào bán / thuyết trình gọi vốn</x:v>
      </x:c>
      <x:c r="E86" s="150" t="str">
        <x:v>N/V</x:v>
      </x:c>
      <x:c r="F86" s="150" t="str">
        <x:v>B2</x:v>
      </x:c>
      <x:c r="G86" s="150" t="str">
        <x:v>proposal; presentation</x:v>
      </x:c>
      <x:c r="H86" s="150" t="str">
        <x:v>pitch a start-up to investors</x:v>
      </x:c>
      <x:c r="I86" s="150" t="str"/>
      <x:c r="J86" s="150" t="str">
        <x:v>Part 6 Q139–142</x:v>
      </x:c>
      <x:c r="K86" s="150" t="str">
        <x:v>Rất cao</x:v>
      </x:c>
      <x:c r="L86" s="150" t="str">
        <x:v>Chưa học</x:v>
      </x:c>
    </x:row>
    <x:row r="87">
      <x:c r="A87" s="150" t="str">
        <x:v>S05</x:v>
      </x:c>
      <x:c r="B87" s="150" t="str">
        <x:v>Marketing / truyền thông</x:v>
      </x:c>
      <x:c r="C87" s="151" t="str">
        <x:v>start-up</x:v>
      </x:c>
      <x:c r="D87" s="150" t="str">
        <x:v>công ty khởi nghiệp</x:v>
      </x:c>
      <x:c r="E87" s="150" t="str">
        <x:v>N</x:v>
      </x:c>
      <x:c r="F87" s="150" t="str">
        <x:v>B2</x:v>
      </x:c>
      <x:c r="G87" s="150" t="str">
        <x:v>new venture</x:v>
      </x:c>
      <x:c r="H87" s="150" t="str">
        <x:v>pitch your start-up</x:v>
      </x:c>
      <x:c r="I87" s="150" t="str"/>
      <x:c r="J87" s="150" t="str">
        <x:v>Part 6 Q139–142</x:v>
      </x:c>
      <x:c r="K87" s="150" t="str">
        <x:v>Cao</x:v>
      </x:c>
      <x:c r="L87" s="150" t="str">
        <x:v>Chưa học</x:v>
      </x:c>
    </x:row>
    <x:row r="88">
      <x:c r="A88" s="150" t="str">
        <x:v>S05</x:v>
      </x:c>
      <x:c r="B88" s="150" t="str">
        <x:v>Marketing / truyền thông</x:v>
      </x:c>
      <x:c r="C88" s="151" t="str">
        <x:v>keep someone in suspense</x:v>
      </x:c>
      <x:c r="D88" s="150" t="str">
        <x:v>để ai đó chờ đợi trong hồi hộp</x:v>
      </x:c>
      <x:c r="E88" s="150" t="str">
        <x:v>Cụm</x:v>
      </x:c>
      <x:c r="F88" s="150" t="str">
        <x:v>B2</x:v>
      </x:c>
      <x:c r="G88" s="150" t="str">
        <x:v>delay the key point</x:v>
      </x:c>
      <x:c r="H88" s="150" t="str">
        <x:v>do not keep investors in suspense</x:v>
      </x:c>
      <x:c r="I88" s="150" t="str"/>
      <x:c r="J88" s="150" t="str">
        <x:v>Part 6 Q139–142</x:v>
      </x:c>
      <x:c r="K88" s="150" t="str">
        <x:v>Cao</x:v>
      </x:c>
      <x:c r="L88" s="150" t="str">
        <x:v>Chưa học</x:v>
      </x:c>
    </x:row>
    <x:row r="89">
      <x:c r="A89" s="150" t="str">
        <x:v>S05</x:v>
      </x:c>
      <x:c r="B89" s="150" t="str">
        <x:v>Marketing / truyền thông</x:v>
      </x:c>
      <x:c r="C89" s="151" t="str">
        <x:v>grab attention</x:v>
      </x:c>
      <x:c r="D89" s="150" t="str">
        <x:v>thu hút sự chú ý</x:v>
      </x:c>
      <x:c r="E89" s="150" t="str">
        <x:v>Cụm</x:v>
      </x:c>
      <x:c r="F89" s="150" t="str">
        <x:v>B1</x:v>
      </x:c>
      <x:c r="G89" s="150" t="str">
        <x:v>capture attention</x:v>
      </x:c>
      <x:c r="H89" s="150" t="str">
        <x:v>grab investors' attention</x:v>
      </x:c>
      <x:c r="I89" s="150" t="str"/>
      <x:c r="J89" s="150" t="str">
        <x:v>Part 6 Q139–142</x:v>
      </x:c>
      <x:c r="K89" s="150" t="str">
        <x:v>Rất cao</x:v>
      </x:c>
      <x:c r="L89" s="150" t="str">
        <x:v>Chưa học</x:v>
      </x:c>
    </x:row>
    <x:row r="90">
      <x:c r="A90" s="150" t="str">
        <x:v>S05</x:v>
      </x:c>
      <x:c r="B90" s="150" t="str">
        <x:v>Marketing / truyền thông</x:v>
      </x:c>
      <x:c r="C90" s="151" t="str">
        <x:v>greatest asset</x:v>
      </x:c>
      <x:c r="D90" s="150" t="str">
        <x:v>tài sản / lợi thế lớn nhất</x:v>
      </x:c>
      <x:c r="E90" s="150" t="str">
        <x:v>Cụm</x:v>
      </x:c>
      <x:c r="F90" s="150" t="str">
        <x:v>B2</x:v>
      </x:c>
      <x:c r="G90" s="150" t="str">
        <x:v>strongest advantage</x:v>
      </x:c>
      <x:c r="H90" s="150" t="str">
        <x:v>the team is the greatest asset</x:v>
      </x:c>
      <x:c r="I90" s="150" t="str"/>
      <x:c r="J90" s="150" t="str">
        <x:v>Part 6 Q139–142</x:v>
      </x:c>
      <x:c r="K90" s="150" t="str">
        <x:v>Cao</x:v>
      </x:c>
      <x:c r="L90" s="150" t="str">
        <x:v>Chưa học</x:v>
      </x:c>
    </x:row>
    <x:row r="91">
      <x:c r="A91" s="150" t="str">
        <x:v>S05</x:v>
      </x:c>
      <x:c r="B91" s="150" t="str">
        <x:v>Marketing / truyền thông</x:v>
      </x:c>
      <x:c r="C91" s="151" t="str">
        <x:v>set apart</x:v>
      </x:c>
      <x:c r="D91" s="150" t="str">
        <x:v>làm nổi bật / tạo khác biệt</x:v>
      </x:c>
      <x:c r="E91" s="150" t="str">
        <x:v>Phrasal V</x:v>
      </x:c>
      <x:c r="F91" s="150" t="str">
        <x:v>B2</x:v>
      </x:c>
      <x:c r="G91" s="150" t="str">
        <x:v>distinguish</x:v>
      </x:c>
      <x:c r="H91" s="150" t="str">
        <x:v>what sets the company apart</x:v>
      </x:c>
      <x:c r="I91" s="150" t="str"/>
      <x:c r="J91" s="150" t="str">
        <x:v>Part 6 Q139–142</x:v>
      </x:c>
      <x:c r="K91" s="150" t="str">
        <x:v>Rất cao</x:v>
      </x:c>
      <x:c r="L91" s="150" t="str">
        <x:v>Chưa học</x:v>
      </x:c>
    </x:row>
    <x:row r="92">
      <x:c r="A92" s="150" t="str">
        <x:v>S05</x:v>
      </x:c>
      <x:c r="B92" s="150" t="str">
        <x:v>Marketing / truyền thông</x:v>
      </x:c>
      <x:c r="C92" s="151" t="str">
        <x:v>leading statement</x:v>
      </x:c>
      <x:c r="D92" s="150" t="str">
        <x:v>phát biểu mở đầu chủ đạo</x:v>
      </x:c>
      <x:c r="E92" s="150" t="str">
        <x:v>Cụm</x:v>
      </x:c>
      <x:c r="F92" s="150" t="str">
        <x:v>B2</x:v>
      </x:c>
      <x:c r="G92" s="150" t="str">
        <x:v>opening statement</x:v>
      </x:c>
      <x:c r="H92" s="150" t="str">
        <x:v>make it the leading statement</x:v>
      </x:c>
      <x:c r="I92" s="150" t="str"/>
      <x:c r="J92" s="150" t="str">
        <x:v>Part 6 Q139–142</x:v>
      </x:c>
      <x:c r="K92" s="150" t="str">
        <x:v>Cao</x:v>
      </x:c>
      <x:c r="L92" s="150" t="str">
        <x:v>Chưa học</x:v>
      </x:c>
    </x:row>
    <x:row r="93">
      <x:c r="A93" s="150" t="str">
        <x:v>S05</x:v>
      </x:c>
      <x:c r="B93" s="150" t="str">
        <x:v>Marketing / truyền thông</x:v>
      </x:c>
      <x:c r="C93" s="151" t="str">
        <x:v>social media</x:v>
      </x:c>
      <x:c r="D93" s="150" t="str">
        <x:v>mạng xã hội</x:v>
      </x:c>
      <x:c r="E93" s="150" t="str">
        <x:v>Cụm</x:v>
      </x:c>
      <x:c r="F93" s="150" t="str">
        <x:v>B1</x:v>
      </x:c>
      <x:c r="G93" s="150" t="str">
        <x:v>social network</x:v>
      </x:c>
      <x:c r="H93" s="150" t="str">
        <x:v>focus on social media advertising</x:v>
      </x:c>
      <x:c r="I93" s="150" t="str"/>
      <x:c r="J93" s="150" t="str">
        <x:v>Part 5 Q101 / Part 7 Q172–175</x:v>
      </x:c>
      <x:c r="K93" s="150" t="str">
        <x:v>Cao</x:v>
      </x:c>
      <x:c r="L93" s="150" t="str">
        <x:v>Chưa học</x:v>
      </x:c>
    </x:row>
    <x:row r="94">
      <x:c r="A94" s="152" t="str">
        <x:v>S05</x:v>
      </x:c>
      <x:c r="B94" s="152" t="str">
        <x:v>Marketing / truyền thông</x:v>
      </x:c>
      <x:c r="C94" s="153" t="str">
        <x:v>advertising strategy</x:v>
      </x:c>
      <x:c r="D94" s="152" t="str">
        <x:v>chiến lược quảng cáo</x:v>
      </x:c>
      <x:c r="E94" s="152" t="str">
        <x:v>Cụm</x:v>
      </x:c>
      <x:c r="F94" s="152" t="str">
        <x:v>B1</x:v>
      </x:c>
      <x:c r="G94" s="152" t="str">
        <x:v>marketing approach</x:v>
      </x:c>
      <x:c r="H94" s="152" t="str">
        <x:v>discuss advertising strategies</x:v>
      </x:c>
      <x:c r="I94" s="152" t="str"/>
      <x:c r="J94" s="152" t="str">
        <x:v>Part 7 Q172–175</x:v>
      </x:c>
      <x:c r="K94" s="152" t="str">
        <x:v>Rất cao</x:v>
      </x:c>
      <x:c r="L94" s="152" t="str">
        <x:v>Chưa học</x:v>
      </x:c>
    </x:row>
    <x:row r="95">
      <x:c r="A95" s="152" t="str">
        <x:v>S05</x:v>
      </x:c>
      <x:c r="B95" s="152" t="str">
        <x:v>Marketing / truyền thông</x:v>
      </x:c>
      <x:c r="C95" s="153" t="str">
        <x:v>public relations</x:v>
      </x:c>
      <x:c r="D95" s="152" t="str">
        <x:v>quan hệ công chúng</x:v>
      </x:c>
      <x:c r="E95" s="152" t="str">
        <x:v>Cụm</x:v>
      </x:c>
      <x:c r="F95" s="152" t="str">
        <x:v>B2</x:v>
      </x:c>
      <x:c r="G95" s="152" t="str">
        <x:v>PR; communications</x:v>
      </x:c>
      <x:c r="H95" s="152" t="str">
        <x:v>public relations staff</x:v>
      </x:c>
      <x:c r="I95" s="152" t="str"/>
      <x:c r="J95" s="152" t="str">
        <x:v>Part 7 Q161–163</x:v>
      </x:c>
      <x:c r="K95" s="152" t="str">
        <x:v>Rất cao</x:v>
      </x:c>
      <x:c r="L95" s="152" t="str">
        <x:v>Chưa học</x:v>
      </x:c>
    </x:row>
    <x:row r="96">
      <x:c r="A96" s="152" t="str">
        <x:v>S05</x:v>
      </x:c>
      <x:c r="B96" s="152" t="str">
        <x:v>Marketing / truyền thông</x:v>
      </x:c>
      <x:c r="C96" s="153" t="str">
        <x:v>cross-cultural communication</x:v>
      </x:c>
      <x:c r="D96" s="152" t="str">
        <x:v>giao tiếp xuyên văn hóa</x:v>
      </x:c>
      <x:c r="E96" s="152" t="str">
        <x:v>Cụm</x:v>
      </x:c>
      <x:c r="F96" s="152" t="str">
        <x:v>B2</x:v>
      </x:c>
      <x:c r="G96" s="152" t="str">
        <x:v>intercultural communication</x:v>
      </x:c>
      <x:c r="H96" s="152" t="str">
        <x:v>effective cross-cultural communication</x:v>
      </x:c>
      <x:c r="I96" s="152" t="str"/>
      <x:c r="J96" s="152" t="str">
        <x:v>Part 7 Q161–163</x:v>
      </x:c>
      <x:c r="K96" s="152" t="str">
        <x:v>Rất cao</x:v>
      </x:c>
      <x:c r="L96" s="152" t="str">
        <x:v>Chưa học</x:v>
      </x:c>
    </x:row>
    <x:row r="97">
      <x:c r="A97" s="152" t="str">
        <x:v>S05</x:v>
      </x:c>
      <x:c r="B97" s="152" t="str">
        <x:v>Marketing / truyền thông</x:v>
      </x:c>
      <x:c r="C97" s="153" t="str">
        <x:v>word choice</x:v>
      </x:c>
      <x:c r="D97" s="152" t="str">
        <x:v>lựa chọn từ ngữ</x:v>
      </x:c>
      <x:c r="E97" s="152" t="str">
        <x:v>Cụm</x:v>
      </x:c>
      <x:c r="F97" s="152" t="str">
        <x:v>B1</x:v>
      </x:c>
      <x:c r="G97" s="152" t="str">
        <x:v>wording</x:v>
      </x:c>
      <x:c r="H97" s="152" t="str">
        <x:v>importance of word choice</x:v>
      </x:c>
      <x:c r="I97" s="152" t="str"/>
      <x:c r="J97" s="152" t="str">
        <x:v>Part 7 Q161–163</x:v>
      </x:c>
      <x:c r="K97" s="152" t="str">
        <x:v>Cao</x:v>
      </x:c>
      <x:c r="L97" s="152" t="str">
        <x:v>Chưa học</x:v>
      </x:c>
    </x:row>
    <x:row r="98">
      <x:c r="A98" s="152" t="str">
        <x:v>S05</x:v>
      </x:c>
      <x:c r="B98" s="152" t="str">
        <x:v>Marketing / truyền thông</x:v>
      </x:c>
      <x:c r="C98" s="153" t="str">
        <x:v>featured artist</x:v>
      </x:c>
      <x:c r="D98" s="152" t="str">
        <x:v>nghệ sĩ nổi bật / khách mời chính</x:v>
      </x:c>
      <x:c r="E98" s="152" t="str">
        <x:v>Cụm</x:v>
      </x:c>
      <x:c r="F98" s="152" t="str">
        <x:v>B1</x:v>
      </x:c>
      <x:c r="G98" s="152" t="str">
        <x:v>highlighted artist</x:v>
      </x:c>
      <x:c r="H98" s="152" t="str">
        <x:v>the first featured artist</x:v>
      </x:c>
      <x:c r="I98" s="152" t="str"/>
      <x:c r="J98" s="152" t="str">
        <x:v>Part 7 Q151–152</x:v>
      </x:c>
      <x:c r="K98" s="152" t="str">
        <x:v>Cao</x:v>
      </x:c>
      <x:c r="L98" s="152" t="str">
        <x:v>Chưa học</x:v>
      </x:c>
    </x:row>
    <x:row r="99">
      <x:c r="A99" s="152" t="str">
        <x:v>S05</x:v>
      </x:c>
      <x:c r="B99" s="152" t="str">
        <x:v>Marketing / truyền thông</x:v>
      </x:c>
      <x:c r="C99" s="153" t="str">
        <x:v>mingle with the crowd</x:v>
      </x:c>
      <x:c r="D99" s="152" t="str">
        <x:v>giao lưu với đám đông</x:v>
      </x:c>
      <x:c r="E99" s="152" t="str">
        <x:v>Cụm</x:v>
      </x:c>
      <x:c r="F99" s="152" t="str">
        <x:v>B2</x:v>
      </x:c>
      <x:c r="G99" s="152" t="str">
        <x:v>socialize with attendees</x:v>
      </x:c>
      <x:c r="H99" s="152" t="str">
        <x:v>be on hand to mingle</x:v>
      </x:c>
      <x:c r="I99" s="152" t="str"/>
      <x:c r="J99" s="152" t="str">
        <x:v>Part 7 Q151–152</x:v>
      </x:c>
      <x:c r="K99" s="152" t="str">
        <x:v>Cao</x:v>
      </x:c>
      <x:c r="L99" s="152" t="str">
        <x:v>Chưa học</x:v>
      </x:c>
    </x:row>
    <x:row r="100">
      <x:c r="A100" s="152" t="str">
        <x:v>S05</x:v>
      </x:c>
      <x:c r="B100" s="152" t="str">
        <x:v>Marketing / truyền thông</x:v>
      </x:c>
      <x:c r="C100" s="153" t="str">
        <x:v>proposal</x:v>
      </x:c>
      <x:c r="D100" s="152" t="str">
        <x:v>đề xuất</x:v>
      </x:c>
      <x:c r="E100" s="152" t="str">
        <x:v>N</x:v>
      </x:c>
      <x:c r="F100" s="152" t="str">
        <x:v>B1</x:v>
      </x:c>
      <x:c r="G100" s="152" t="str">
        <x:v>plan; submission</x:v>
      </x:c>
      <x:c r="H100" s="152" t="str">
        <x:v>submit mural proposals</x:v>
      </x:c>
      <x:c r="I100" s="152" t="str">
        <x:v>propose → proposal</x:v>
      </x:c>
      <x:c r="J100" s="152" t="str">
        <x:v>Part 7 Q149–150</x:v>
      </x:c>
      <x:c r="K100" s="152" t="str">
        <x:v>Rất cao</x:v>
      </x:c>
      <x:c r="L100" s="152" t="str">
        <x:v>Chưa học</x:v>
      </x:c>
    </x:row>
    <x:row r="101">
      <x:c r="A101" s="152" t="str">
        <x:v>S05</x:v>
      </x:c>
      <x:c r="B101" s="152" t="str">
        <x:v>Marketing / truyền thông</x:v>
      </x:c>
      <x:c r="C101" s="153" t="str">
        <x:v>commission an artist</x:v>
      </x:c>
      <x:c r="D101" s="152" t="str">
        <x:v>đặt hàng / thuê nghệ sĩ sáng tác</x:v>
      </x:c>
      <x:c r="E101" s="152" t="str">
        <x:v>Cụm</x:v>
      </x:c>
      <x:c r="F101" s="152" t="str">
        <x:v>B2</x:v>
      </x:c>
      <x:c r="G101" s="152" t="str">
        <x:v>hire an artist</x:v>
      </x:c>
      <x:c r="H101" s="152" t="str">
        <x:v>artists were commissioned</x:v>
      </x:c>
      <x:c r="I101" s="152" t="str"/>
      <x:c r="J101" s="152" t="str">
        <x:v>Part 7 Q149–150</x:v>
      </x:c>
      <x:c r="K101" s="152" t="str">
        <x:v>Cao</x:v>
      </x:c>
      <x:c r="L101" s="152" t="str">
        <x:v>Chưa học</x:v>
      </x:c>
    </x:row>
    <x:row r="102">
      <x:c r="A102" s="152" t="str">
        <x:v>S05</x:v>
      </x:c>
      <x:c r="B102" s="152" t="str">
        <x:v>Marketing / truyền thông</x:v>
      </x:c>
      <x:c r="C102" s="153" t="str">
        <x:v>testimonial</x:v>
      </x:c>
      <x:c r="D102" s="152" t="str">
        <x:v>lời chứng thực / đánh giá khách hàng</x:v>
      </x:c>
      <x:c r="E102" s="152" t="str">
        <x:v>N</x:v>
      </x:c>
      <x:c r="F102" s="152" t="str">
        <x:v>B2</x:v>
      </x:c>
      <x:c r="G102" s="152" t="str">
        <x:v>endorsement; review</x:v>
      </x:c>
      <x:c r="H102" s="152" t="str">
        <x:v>visit the Testimonials page</x:v>
      </x:c>
      <x:c r="I102" s="152" t="str">
        <x:v>testify → testimonial</x:v>
      </x:c>
      <x:c r="J102" s="152" t="str">
        <x:v>Part 7 Q155–157</x:v>
      </x:c>
      <x:c r="K102" s="152" t="str">
        <x:v>Cao</x:v>
      </x:c>
      <x:c r="L102" s="152" t="str">
        <x:v>Chưa học</x:v>
      </x:c>
    </x:row>
    <x:row r="103">
      <x:c r="A103" s="152" t="str">
        <x:v>S05</x:v>
      </x:c>
      <x:c r="B103" s="152" t="str">
        <x:v>Marketing / truyền thông</x:v>
      </x:c>
      <x:c r="C103" s="153" t="str">
        <x:v>inquiry</x:v>
      </x:c>
      <x:c r="D103" s="152" t="str">
        <x:v>yêu cầu thông tin</x:v>
      </x:c>
      <x:c r="E103" s="152" t="str">
        <x:v>N</x:v>
      </x:c>
      <x:c r="F103" s="152" t="str">
        <x:v>B1</x:v>
      </x:c>
      <x:c r="G103" s="152" t="str">
        <x:v>query; request</x:v>
      </x:c>
      <x:c r="H103" s="152" t="str">
        <x:v>respond to an inquiry</x:v>
      </x:c>
      <x:c r="I103" s="152" t="str">
        <x:v>inquire → inquiry</x:v>
      </x:c>
      <x:c r="J103" s="152" t="str">
        <x:v>Part 7 Q155–157</x:v>
      </x:c>
      <x:c r="K103" s="152" t="str">
        <x:v>Rất cao</x:v>
      </x:c>
      <x:c r="L103" s="152" t="str">
        <x:v>Chưa học</x:v>
      </x:c>
    </x:row>
    <x:row r="104">
      <x:c r="A104" s="152" t="str">
        <x:v>S06</x:v>
      </x:c>
      <x:c r="B104" s="152" t="str">
        <x:v>Vận hành / logistics</x:v>
      </x:c>
      <x:c r="C104" s="153" t="str">
        <x:v>repair</x:v>
      </x:c>
      <x:c r="D104" s="152" t="str">
        <x:v>sửa chữa</x:v>
      </x:c>
      <x:c r="E104" s="152" t="str">
        <x:v>N/V</x:v>
      </x:c>
      <x:c r="F104" s="152" t="str">
        <x:v>B1</x:v>
      </x:c>
      <x:c r="G104" s="152" t="str">
        <x:v>fix; maintenance</x:v>
      </x:c>
      <x:c r="H104" s="152" t="str">
        <x:v>machines need repairs</x:v>
      </x:c>
      <x:c r="I104" s="152" t="str">
        <x:v>repairable → repair</x:v>
      </x:c>
      <x:c r="J104" s="152" t="str">
        <x:v>Part 5 Q106</x:v>
      </x:c>
      <x:c r="K104" s="152" t="str">
        <x:v>Cao</x:v>
      </x:c>
      <x:c r="L104" s="152" t="str">
        <x:v>Chưa học</x:v>
      </x:c>
    </x:row>
    <x:row r="105">
      <x:c r="A105" s="152" t="str">
        <x:v>S06</x:v>
      </x:c>
      <x:c r="B105" s="152" t="str">
        <x:v>Vận hành / logistics</x:v>
      </x:c>
      <x:c r="C105" s="153" t="str">
        <x:v>shipping team</x:v>
      </x:c>
      <x:c r="D105" s="152" t="str">
        <x:v>đội vận chuyển</x:v>
      </x:c>
      <x:c r="E105" s="152" t="str">
        <x:v>Cụm</x:v>
      </x:c>
      <x:c r="F105" s="152" t="str">
        <x:v>B1</x:v>
      </x:c>
      <x:c r="G105" s="152" t="str">
        <x:v>delivery team</x:v>
      </x:c>
      <x:c r="H105" s="152" t="str">
        <x:v>e-mail to the shipping team</x:v>
      </x:c>
      <x:c r="I105" s="152" t="str"/>
      <x:c r="J105" s="152" t="str">
        <x:v>Part 6 Q135–138</x:v>
      </x:c>
      <x:c r="K105" s="152" t="str">
        <x:v>Cao</x:v>
      </x:c>
      <x:c r="L105" s="152" t="str">
        <x:v>Chưa học</x:v>
      </x:c>
    </x:row>
    <x:row r="106">
      <x:c r="A106" s="152" t="str">
        <x:v>S06</x:v>
      </x:c>
      <x:c r="B106" s="152" t="str">
        <x:v>Vận hành / logistics</x:v>
      </x:c>
      <x:c r="C106" s="153" t="str">
        <x:v>distribution manager</x:v>
      </x:c>
      <x:c r="D106" s="152" t="str">
        <x:v>quản lý phân phối</x:v>
      </x:c>
      <x:c r="E106" s="152" t="str">
        <x:v>Cụm</x:v>
      </x:c>
      <x:c r="F106" s="152" t="str">
        <x:v>B2</x:v>
      </x:c>
      <x:c r="G106" s="152" t="str">
        <x:v>logistics manager</x:v>
      </x:c>
      <x:c r="H106" s="152" t="str">
        <x:v>regional distribution manager</x:v>
      </x:c>
      <x:c r="I106" s="152" t="str"/>
      <x:c r="J106" s="152" t="str">
        <x:v>Part 6 Q135–138</x:v>
      </x:c>
      <x:c r="K106" s="152" t="str">
        <x:v>Rất cao</x:v>
      </x:c>
      <x:c r="L106" s="152" t="str">
        <x:v>Chưa học</x:v>
      </x:c>
    </x:row>
    <x:row r="107">
      <x:c r="A107" s="152" t="str">
        <x:v>S06</x:v>
      </x:c>
      <x:c r="B107" s="152" t="str">
        <x:v>Vận hành / logistics</x:v>
      </x:c>
      <x:c r="C107" s="153" t="str">
        <x:v>warehouse</x:v>
      </x:c>
      <x:c r="D107" s="152" t="str">
        <x:v>nhà kho</x:v>
      </x:c>
      <x:c r="E107" s="152" t="str">
        <x:v>N</x:v>
      </x:c>
      <x:c r="F107" s="152" t="str">
        <x:v>B1</x:v>
      </x:c>
      <x:c r="G107" s="152" t="str">
        <x:v>storage facility</x:v>
      </x:c>
      <x:c r="H107" s="152" t="str">
        <x:v>on the way to the warehouse</x:v>
      </x:c>
      <x:c r="I107" s="152" t="str"/>
      <x:c r="J107" s="152" t="str">
        <x:v>Part 7 Q153–154</x:v>
      </x:c>
      <x:c r="K107" s="152" t="str">
        <x:v>Cao</x:v>
      </x:c>
      <x:c r="L107" s="152" t="str">
        <x:v>Chưa học</x:v>
      </x:c>
    </x:row>
    <x:row r="108">
      <x:c r="A108" s="152" t="str">
        <x:v>S06</x:v>
      </x:c>
      <x:c r="B108" s="152" t="str">
        <x:v>Vận hành / logistics</x:v>
      </x:c>
      <x:c r="C108" s="153" t="str">
        <x:v>overstocked item</x:v>
      </x:c>
      <x:c r="D108" s="152" t="str">
        <x:v>hàng tồn kho dư thừa</x:v>
      </x:c>
      <x:c r="E108" s="152" t="str">
        <x:v>Cụm</x:v>
      </x:c>
      <x:c r="F108" s="152" t="str">
        <x:v>B2</x:v>
      </x:c>
      <x:c r="G108" s="152" t="str">
        <x:v>excess inventory</x:v>
      </x:c>
      <x:c r="H108" s="152" t="str">
        <x:v>a van loaded with overstocked items</x:v>
      </x:c>
      <x:c r="I108" s="152" t="str">
        <x:v>overstock → overstocked</x:v>
      </x:c>
      <x:c r="J108" s="152" t="str">
        <x:v>Part 7 Q153–154</x:v>
      </x:c>
      <x:c r="K108" s="152" t="str">
        <x:v>Rất cao</x:v>
      </x:c>
      <x:c r="L108" s="152" t="str">
        <x:v>Chưa học</x:v>
      </x:c>
    </x:row>
    <x:row r="109">
      <x:c r="A109" s="152" t="str">
        <x:v>S06</x:v>
      </x:c>
      <x:c r="B109" s="152" t="str">
        <x:v>Vận hành / logistics</x:v>
      </x:c>
      <x:c r="C109" s="153" t="str">
        <x:v>unload</x:v>
      </x:c>
      <x:c r="D109" s="152" t="str">
        <x:v>dỡ hàng</x:v>
      </x:c>
      <x:c r="E109" s="152" t="str">
        <x:v>V</x:v>
      </x:c>
      <x:c r="F109" s="152" t="str">
        <x:v>B1</x:v>
      </x:c>
      <x:c r="G109" s="152" t="str">
        <x:v>take cargo out</x:v>
      </x:c>
      <x:c r="H109" s="152" t="str">
        <x:v>unload the van</x:v>
      </x:c>
      <x:c r="I109" s="152" t="str">
        <x:v>load → unload</x:v>
      </x:c>
      <x:c r="J109" s="152" t="str">
        <x:v>Part 7 Q153–154</x:v>
      </x:c>
      <x:c r="K109" s="152" t="str">
        <x:v>Cao</x:v>
      </x:c>
      <x:c r="L109" s="152" t="str">
        <x:v>Chưa học</x:v>
      </x:c>
    </x:row>
    <x:row r="110">
      <x:c r="A110" s="152" t="str">
        <x:v>S06</x:v>
      </x:c>
      <x:c r="B110" s="152" t="str">
        <x:v>Vận hành / logistics</x:v>
      </x:c>
      <x:c r="C110" s="153" t="str">
        <x:v>production facility</x:v>
      </x:c>
      <x:c r="D110" s="152" t="str">
        <x:v>cơ sở sản xuất</x:v>
      </x:c>
      <x:c r="E110" s="152" t="str">
        <x:v>Cụm</x:v>
      </x:c>
      <x:c r="F110" s="152" t="str">
        <x:v>B1</x:v>
      </x:c>
      <x:c r="G110" s="152" t="str">
        <x:v>factory; plant</x:v>
      </x:c>
      <x:c r="H110" s="152" t="str">
        <x:v>made in a production facility</x:v>
      </x:c>
      <x:c r="I110" s="152" t="str"/>
      <x:c r="J110" s="152" t="str">
        <x:v>Part 7 Q176–180</x:v>
      </x:c>
      <x:c r="K110" s="152" t="str">
        <x:v>Rất cao</x:v>
      </x:c>
      <x:c r="L110" s="152" t="str">
        <x:v>Chưa học</x:v>
      </x:c>
    </x:row>
    <x:row r="111">
      <x:c r="A111" s="154" t="str">
        <x:v>S06</x:v>
      </x:c>
      <x:c r="B111" s="154" t="str">
        <x:v>Vận hành / logistics</x:v>
      </x:c>
      <x:c r="C111" s="155" t="str">
        <x:v>locally sourced part</x:v>
      </x:c>
      <x:c r="D111" s="154" t="str">
        <x:v>linh kiện có nguồn gốc địa phương</x:v>
      </x:c>
      <x:c r="E111" s="154" t="str">
        <x:v>Cụm</x:v>
      </x:c>
      <x:c r="F111" s="154" t="str">
        <x:v>B2</x:v>
      </x:c>
      <x:c r="G111" s="154" t="str">
        <x:v>local component</x:v>
      </x:c>
      <x:c r="H111" s="154" t="str">
        <x:v>products with locally sourced parts</x:v>
      </x:c>
      <x:c r="I111" s="154" t="str">
        <x:v>source → sourced</x:v>
      </x:c>
      <x:c r="J111" s="154" t="str">
        <x:v>Part 7 Q176–180</x:v>
      </x:c>
      <x:c r="K111" s="154" t="str">
        <x:v>Rất cao</x:v>
      </x:c>
      <x:c r="L111" s="154" t="str">
        <x:v>Chưa học</x:v>
      </x:c>
    </x:row>
    <x:row r="112">
      <x:c r="A112" s="154" t="str">
        <x:v>S06</x:v>
      </x:c>
      <x:c r="B112" s="154" t="str">
        <x:v>Vận hành / logistics</x:v>
      </x:c>
      <x:c r="C112" s="155" t="str">
        <x:v>surge in orders</x:v>
      </x:c>
      <x:c r="D112" s="154" t="str">
        <x:v>sự tăng vọt đơn hàng</x:v>
      </x:c>
      <x:c r="E112" s="154" t="str">
        <x:v>Cụm</x:v>
      </x:c>
      <x:c r="F112" s="154" t="str">
        <x:v>B2</x:v>
      </x:c>
      <x:c r="G112" s="154" t="str">
        <x:v>spike in demand</x:v>
      </x:c>
      <x:c r="H112" s="154" t="str">
        <x:v>a dramatic surge in orders</x:v>
      </x:c>
      <x:c r="I112" s="154" t="str"/>
      <x:c r="J112" s="154" t="str">
        <x:v>Part 7 Q176–180</x:v>
      </x:c>
      <x:c r="K112" s="154" t="str">
        <x:v>Rất cao</x:v>
      </x:c>
      <x:c r="L112" s="154" t="str">
        <x:v>Chưa học</x:v>
      </x:c>
    </x:row>
    <x:row r="113">
      <x:c r="A113" s="154" t="str">
        <x:v>S06</x:v>
      </x:c>
      <x:c r="B113" s="154" t="str">
        <x:v>Vận hành / logistics</x:v>
      </x:c>
      <x:c r="C113" s="155" t="str">
        <x:v>work overtime</x:v>
      </x:c>
      <x:c r="D113" s="154" t="str">
        <x:v>làm thêm giờ</x:v>
      </x:c>
      <x:c r="E113" s="154" t="str">
        <x:v>Cụm</x:v>
      </x:c>
      <x:c r="F113" s="154" t="str">
        <x:v>B1</x:v>
      </x:c>
      <x:c r="G113" s="154" t="str">
        <x:v>work extra hours</x:v>
      </x:c>
      <x:c r="H113" s="154" t="str">
        <x:v>staff working overtime</x:v>
      </x:c>
      <x:c r="I113" s="154" t="str"/>
      <x:c r="J113" s="154" t="str">
        <x:v>Part 7 Q176–180</x:v>
      </x:c>
      <x:c r="K113" s="154" t="str">
        <x:v>Cao</x:v>
      </x:c>
      <x:c r="L113" s="154" t="str">
        <x:v>Chưa học</x:v>
      </x:c>
    </x:row>
    <x:row r="114">
      <x:c r="A114" s="154" t="str">
        <x:v>S06</x:v>
      </x:c>
      <x:c r="B114" s="154" t="str">
        <x:v>Vận hành / logistics</x:v>
      </x:c>
      <x:c r="C114" s="155" t="str">
        <x:v>catch up</x:v>
      </x:c>
      <x:c r="D114" s="154" t="str">
        <x:v>bắt kịp tiến độ</x:v>
      </x:c>
      <x:c r="E114" s="154" t="str">
        <x:v>Phrasal V</x:v>
      </x:c>
      <x:c r="F114" s="154" t="str">
        <x:v>B1</x:v>
      </x:c>
      <x:c r="G114" s="154" t="str">
        <x:v>recover lost time</x:v>
      </x:c>
      <x:c r="H114" s="154" t="str">
        <x:v>work overtime to catch up</x:v>
      </x:c>
      <x:c r="I114" s="154" t="str"/>
      <x:c r="J114" s="154" t="str">
        <x:v>Part 7 Q176–180</x:v>
      </x:c>
      <x:c r="K114" s="154" t="str">
        <x:v>Rất cao</x:v>
      </x:c>
      <x:c r="L114" s="154" t="str">
        <x:v>Chưa học</x:v>
      </x:c>
    </x:row>
    <x:row r="115">
      <x:c r="A115" s="154" t="str">
        <x:v>S06</x:v>
      </x:c>
      <x:c r="B115" s="154" t="str">
        <x:v>Vận hành / logistics</x:v>
      </x:c>
      <x:c r="C115" s="155" t="str">
        <x:v>delivery time</x:v>
      </x:c>
      <x:c r="D115" s="154" t="str">
        <x:v>thời gian giao hàng</x:v>
      </x:c>
      <x:c r="E115" s="154" t="str">
        <x:v>Cụm</x:v>
      </x:c>
      <x:c r="F115" s="154" t="str">
        <x:v>B1</x:v>
      </x:c>
      <x:c r="G115" s="154" t="str">
        <x:v>lead time</x:v>
      </x:c>
      <x:c r="H115" s="154" t="str">
        <x:v>expect a 10-to-12-week delivery time</x:v>
      </x:c>
      <x:c r="I115" s="154" t="str"/>
      <x:c r="J115" s="154" t="str">
        <x:v>Part 7 Q176–180</x:v>
      </x:c>
      <x:c r="K115" s="154" t="str">
        <x:v>Cao</x:v>
      </x:c>
      <x:c r="L115" s="154" t="str">
        <x:v>Chưa học</x:v>
      </x:c>
    </x:row>
    <x:row r="116">
      <x:c r="A116" s="154" t="str">
        <x:v>S06</x:v>
      </x:c>
      <x:c r="B116" s="154" t="str">
        <x:v>Vận hành / logistics</x:v>
      </x:c>
      <x:c r="C116" s="155" t="str">
        <x:v>meet demand</x:v>
      </x:c>
      <x:c r="D116" s="154" t="str">
        <x:v>đáp ứng nhu cầu</x:v>
      </x:c>
      <x:c r="E116" s="154" t="str">
        <x:v>Cụm</x:v>
      </x:c>
      <x:c r="F116" s="154" t="str">
        <x:v>B2</x:v>
      </x:c>
      <x:c r="G116" s="154" t="str">
        <x:v>satisfy demand</x:v>
      </x:c>
      <x:c r="H116" s="154" t="str">
        <x:v>manage to meet the demand</x:v>
      </x:c>
      <x:c r="I116" s="154" t="str"/>
      <x:c r="J116" s="154" t="str">
        <x:v>Part 7 Q176–180</x:v>
      </x:c>
      <x:c r="K116" s="154" t="str">
        <x:v>Rất cao</x:v>
      </x:c>
      <x:c r="L116" s="154" t="str">
        <x:v>Chưa học</x:v>
      </x:c>
    </x:row>
    <x:row r="117">
      <x:c r="A117" s="154" t="str">
        <x:v>S06</x:v>
      </x:c>
      <x:c r="B117" s="154" t="str">
        <x:v>Vận hành / logistics</x:v>
      </x:c>
      <x:c r="C117" s="155" t="str">
        <x:v>standard shipping</x:v>
      </x:c>
      <x:c r="D117" s="154" t="str">
        <x:v>vận chuyển tiêu chuẩn</x:v>
      </x:c>
      <x:c r="E117" s="154" t="str">
        <x:v>Cụm</x:v>
      </x:c>
      <x:c r="F117" s="154" t="str">
        <x:v>B1</x:v>
      </x:c>
      <x:c r="G117" s="154" t="str">
        <x:v>regular delivery</x:v>
      </x:c>
      <x:c r="H117" s="154" t="str">
        <x:v>free standard shipping</x:v>
      </x:c>
      <x:c r="I117" s="154" t="str"/>
      <x:c r="J117" s="154" t="str">
        <x:v>Part 7 Q155–157</x:v>
      </x:c>
      <x:c r="K117" s="154" t="str">
        <x:v>Cao</x:v>
      </x:c>
      <x:c r="L117" s="154" t="str">
        <x:v>Chưa học</x:v>
      </x:c>
    </x:row>
    <x:row r="118">
      <x:c r="A118" s="154" t="str">
        <x:v>S06</x:v>
      </x:c>
      <x:c r="B118" s="154" t="str">
        <x:v>Vận hành / logistics</x:v>
      </x:c>
      <x:c r="C118" s="155" t="str">
        <x:v>expedited delivery</x:v>
      </x:c>
      <x:c r="D118" s="154" t="str">
        <x:v>giao hàng nhanh</x:v>
      </x:c>
      <x:c r="E118" s="154" t="str">
        <x:v>Cụm</x:v>
      </x:c>
      <x:c r="F118" s="154" t="str">
        <x:v>B2</x:v>
      </x:c>
      <x:c r="G118" s="154" t="str">
        <x:v>express shipping</x:v>
      </x:c>
      <x:c r="H118" s="154" t="str">
        <x:v>expedited delivery for an extra fee</x:v>
      </x:c>
      <x:c r="I118" s="154" t="str">
        <x:v>expedite → expedited</x:v>
      </x:c>
      <x:c r="J118" s="154" t="str">
        <x:v>Part 7 Q155–157</x:v>
      </x:c>
      <x:c r="K118" s="154" t="str">
        <x:v>Rất cao</x:v>
      </x:c>
      <x:c r="L118" s="154" t="str">
        <x:v>Chưa học</x:v>
      </x:c>
    </x:row>
    <x:row r="119">
      <x:c r="A119" s="154" t="str">
        <x:v>S07</x:v>
      </x:c>
      <x:c r="B119" s="154" t="str">
        <x:v>Nghệ thuật / sự kiện / âm nhạc</x:v>
      </x:c>
      <x:c r="C119" s="155" t="str">
        <x:v>exhibit</x:v>
      </x:c>
      <x:c r="D119" s="154" t="str">
        <x:v>triển lãm / vật trưng bày</x:v>
      </x:c>
      <x:c r="E119" s="154" t="str">
        <x:v>N/V</x:v>
      </x:c>
      <x:c r="F119" s="154" t="str">
        <x:v>B1</x:v>
      </x:c>
      <x:c r="G119" s="154" t="str">
        <x:v>display; exhibition</x:v>
      </x:c>
      <x:c r="H119" s="154" t="str">
        <x:v>discuss an exhibit</x:v>
      </x:c>
      <x:c r="I119" s="154" t="str">
        <x:v>exhibit → exhibition</x:v>
      </x:c>
      <x:c r="J119" s="154" t="str">
        <x:v>Part 7 Q151–152</x:v>
      </x:c>
      <x:c r="K119" s="154" t="str">
        <x:v>Cao</x:v>
      </x:c>
      <x:c r="L119" s="154" t="str">
        <x:v>Chưa học</x:v>
      </x:c>
    </x:row>
    <x:row r="120">
      <x:c r="A120" s="154" t="str">
        <x:v>S07</x:v>
      </x:c>
      <x:c r="B120" s="154" t="str">
        <x:v>Nghệ thuật / sự kiện / âm nhạc</x:v>
      </x:c>
      <x:c r="C120" s="155" t="str">
        <x:v>museum wing</x:v>
      </x:c>
      <x:c r="D120" s="154" t="str">
        <x:v>khu nhà / cánh mới của bảo tàng</x:v>
      </x:c>
      <x:c r="E120" s="154" t="str">
        <x:v>Cụm</x:v>
      </x:c>
      <x:c r="F120" s="154" t="str">
        <x:v>B1</x:v>
      </x:c>
      <x:c r="G120" s="154" t="str">
        <x:v>museum extension</x:v>
      </x:c>
      <x:c r="H120" s="154" t="str">
        <x:v>official opening of a museum wing</x:v>
      </x:c>
      <x:c r="I120" s="154" t="str"/>
      <x:c r="J120" s="154" t="str">
        <x:v>Part 7 Q151–152</x:v>
      </x:c>
      <x:c r="K120" s="154" t="str">
        <x:v>Cao</x:v>
      </x:c>
      <x:c r="L120" s="154" t="str">
        <x:v>Chưa học</x:v>
      </x:c>
    </x:row>
    <x:row r="121">
      <x:c r="A121" s="154" t="str">
        <x:v>S07</x:v>
      </x:c>
      <x:c r="B121" s="154" t="str">
        <x:v>Nghệ thuật / sự kiện / âm nhạc</x:v>
      </x:c>
      <x:c r="C121" s="155" t="str">
        <x:v>opening ceremony</x:v>
      </x:c>
      <x:c r="D121" s="154" t="str">
        <x:v>lễ khai mạc</x:v>
      </x:c>
      <x:c r="E121" s="154" t="str">
        <x:v>Cụm</x:v>
      </x:c>
      <x:c r="F121" s="154" t="str">
        <x:v>B1</x:v>
      </x:c>
      <x:c r="G121" s="154" t="str">
        <x:v>inauguration</x:v>
      </x:c>
      <x:c r="H121" s="154" t="str">
        <x:v>an opening ceremony is planned</x:v>
      </x:c>
      <x:c r="I121" s="154" t="str"/>
      <x:c r="J121" s="154" t="str">
        <x:v>Part 7 Q168–171</x:v>
      </x:c>
      <x:c r="K121" s="154" t="str">
        <x:v>Cao</x:v>
      </x:c>
      <x:c r="L121" s="154" t="str">
        <x:v>Chưa học</x:v>
      </x:c>
    </x:row>
    <x:row r="122">
      <x:c r="A122" s="154" t="str">
        <x:v>S07</x:v>
      </x:c>
      <x:c r="B122" s="154" t="str">
        <x:v>Nghệ thuật / sự kiện / âm nhạc</x:v>
      </x:c>
      <x:c r="C122" s="155" t="str">
        <x:v>private celebration</x:v>
      </x:c>
      <x:c r="D122" s="154" t="str">
        <x:v>buổi lễ riêng tư</x:v>
      </x:c>
      <x:c r="E122" s="154" t="str">
        <x:v>Cụm</x:v>
      </x:c>
      <x:c r="F122" s="154" t="str">
        <x:v>B2</x:v>
      </x:c>
      <x:c r="G122" s="154" t="str">
        <x:v>private event</x:v>
      </x:c>
      <x:c r="H122" s="154" t="str">
        <x:v>limited to museum members</x:v>
      </x:c>
      <x:c r="I122" s="154" t="str"/>
      <x:c r="J122" s="154" t="str">
        <x:v>Part 7 Q151–152</x:v>
      </x:c>
      <x:c r="K122" s="154" t="str">
        <x:v>Cao</x:v>
      </x:c>
      <x:c r="L122" s="154" t="str">
        <x:v>Chưa học</x:v>
      </x:c>
    </x:row>
    <x:row r="123">
      <x:c r="A123" s="154" t="str">
        <x:v>S07</x:v>
      </x:c>
      <x:c r="B123" s="154" t="str">
        <x:v>Nghệ thuật / sự kiện / âm nhạc</x:v>
      </x:c>
      <x:c r="C123" s="155" t="str">
        <x:v>accurate count</x:v>
      </x:c>
      <x:c r="D123" s="154" t="str">
        <x:v>số lượng chính xác</x:v>
      </x:c>
      <x:c r="E123" s="154" t="str">
        <x:v>Cụm</x:v>
      </x:c>
      <x:c r="F123" s="154" t="str">
        <x:v>B1</x:v>
      </x:c>
      <x:c r="G123" s="154" t="str">
        <x:v>exact attendance figure</x:v>
      </x:c>
      <x:c r="H123" s="154" t="str">
        <x:v>ensure an accurate count</x:v>
      </x:c>
      <x:c r="I123" s="154" t="str"/>
      <x:c r="J123" s="154" t="str">
        <x:v>Part 7 Q151–152</x:v>
      </x:c>
      <x:c r="K123" s="154" t="str">
        <x:v>Cao</x:v>
      </x:c>
      <x:c r="L123" s="154" t="str">
        <x:v>Chưa học</x:v>
      </x:c>
    </x:row>
    <x:row r="124">
      <x:c r="A124" s="154" t="str">
        <x:v>S07</x:v>
      </x:c>
      <x:c r="B124" s="154" t="str">
        <x:v>Nghệ thuật / sự kiện / âm nhạc</x:v>
      </x:c>
      <x:c r="C124" s="155" t="str">
        <x:v>appetizer</x:v>
      </x:c>
      <x:c r="D124" s="154" t="str">
        <x:v>món khai vị</x:v>
      </x:c>
      <x:c r="E124" s="154" t="str">
        <x:v>N</x:v>
      </x:c>
      <x:c r="F124" s="154" t="str">
        <x:v>B1</x:v>
      </x:c>
      <x:c r="G124" s="154" t="str">
        <x:v>starter</x:v>
      </x:c>
      <x:c r="H124" s="154" t="str">
        <x:v>appetizers and drinks will be served</x:v>
      </x:c>
      <x:c r="I124" s="154" t="str"/>
      <x:c r="J124" s="154" t="str">
        <x:v>Part 7 Q151–152</x:v>
      </x:c>
      <x:c r="K124" s="154" t="str">
        <x:v>Cao</x:v>
      </x:c>
      <x:c r="L124" s="154" t="str">
        <x:v>Chưa học</x:v>
      </x:c>
    </x:row>
    <x:row r="125">
      <x:c r="A125" s="154" t="str">
        <x:v>S07</x:v>
      </x:c>
      <x:c r="B125" s="154" t="str">
        <x:v>Nghệ thuật / sự kiện / âm nhạc</x:v>
      </x:c>
      <x:c r="C125" s="155" t="str">
        <x:v>theatre seat</x:v>
      </x:c>
      <x:c r="D125" s="154" t="str">
        <x:v>ghế nhà hát</x:v>
      </x:c>
      <x:c r="E125" s="154" t="str">
        <x:v>Cụm</x:v>
      </x:c>
      <x:c r="F125" s="154" t="str">
        <x:v>B1</x:v>
      </x:c>
      <x:c r="G125" s="154" t="str">
        <x:v>auditorium seating</x:v>
      </x:c>
      <x:c r="H125" s="154" t="str">
        <x:v>design and supply theatre seats</x:v>
      </x:c>
      <x:c r="I125" s="154" t="str"/>
      <x:c r="J125" s="154" t="str">
        <x:v>Part 7 Q181–185</x:v>
      </x:c>
      <x:c r="K125" s="154" t="str">
        <x:v>Cao</x:v>
      </x:c>
      <x:c r="L125" s="154" t="str">
        <x:v>Chưa học</x:v>
      </x:c>
    </x:row>
    <x:row r="126">
      <x:c r="A126" s="154" t="str">
        <x:v>S07</x:v>
      </x:c>
      <x:c r="B126" s="154" t="str">
        <x:v>Nghệ thuật / sự kiện / âm nhạc</x:v>
      </x:c>
      <x:c r="C126" s="155" t="str">
        <x:v>packed house</x:v>
      </x:c>
      <x:c r="D126" s="154" t="str">
        <x:v>khán phòng kín chỗ</x:v>
      </x:c>
      <x:c r="E126" s="154" t="str">
        <x:v>Cụm</x:v>
      </x:c>
      <x:c r="F126" s="154" t="str">
        <x:v>B2</x:v>
      </x:c>
      <x:c r="G126" s="154" t="str">
        <x:v>sold-out audience</x:v>
      </x:c>
      <x:c r="H126" s="154" t="str">
        <x:v>play to packed houses</x:v>
      </x:c>
      <x:c r="I126" s="154" t="str"/>
      <x:c r="J126" s="154" t="str">
        <x:v>Part 7 Q181–185</x:v>
      </x:c>
      <x:c r="K126" s="154" t="str">
        <x:v>Rất cao</x:v>
      </x:c>
      <x:c r="L126" s="154" t="str">
        <x:v>Chưa học</x:v>
      </x:c>
    </x:row>
    <x:row r="127">
      <x:c r="A127" s="154" t="str">
        <x:v>S07</x:v>
      </x:c>
      <x:c r="B127" s="154" t="str">
        <x:v>Nghệ thuật / sự kiện / âm nhạc</x:v>
      </x:c>
      <x:c r="C127" s="155" t="str">
        <x:v>guided tour</x:v>
      </x:c>
      <x:c r="D127" s="154" t="str">
        <x:v>chuyến tham quan có hướng dẫn</x:v>
      </x:c>
      <x:c r="E127" s="154" t="str">
        <x:v>Cụm</x:v>
      </x:c>
      <x:c r="F127" s="154" t="str">
        <x:v>B1</x:v>
      </x:c>
      <x:c r="G127" s="154" t="str">
        <x:v>guided visit</x:v>
      </x:c>
      <x:c r="H127" s="154" t="str">
        <x:v>take a guided tour</x:v>
      </x:c>
      <x:c r="I127" s="154" t="str"/>
      <x:c r="J127" s="154" t="str">
        <x:v>Part 7 Q168–171 / Q181–185</x:v>
      </x:c>
      <x:c r="K127" s="154" t="str">
        <x:v>Cao</x:v>
      </x:c>
      <x:c r="L127" s="154" t="str">
        <x:v>Chưa học</x:v>
      </x:c>
    </x:row>
    <x:row r="128">
      <x:c r="A128" s="156" t="str">
        <x:v>S07</x:v>
      </x:c>
      <x:c r="B128" s="156" t="str">
        <x:v>Nghệ thuật / sự kiện / âm nhạc</x:v>
      </x:c>
      <x:c r="C128" s="157" t="str">
        <x:v>lecture series</x:v>
      </x:c>
      <x:c r="D128" s="156" t="str">
        <x:v>chuỗi bài giảng</x:v>
      </x:c>
      <x:c r="E128" s="156" t="str">
        <x:v>Cụm</x:v>
      </x:c>
      <x:c r="F128" s="156" t="str">
        <x:v>B1</x:v>
      </x:c>
      <x:c r="G128" s="156" t="str">
        <x:v>talk series</x:v>
      </x:c>
      <x:c r="H128" s="156" t="str">
        <x:v>monthly lecture series</x:v>
      </x:c>
      <x:c r="I128" s="156" t="str"/>
      <x:c r="J128" s="156" t="str">
        <x:v>Part 7 Q186–190</x:v>
      </x:c>
      <x:c r="K128" s="156" t="str">
        <x:v>Rất cao</x:v>
      </x:c>
      <x:c r="L128" s="156" t="str">
        <x:v>Chưa học</x:v>
      </x:c>
    </x:row>
    <x:row r="129">
      <x:c r="A129" s="156" t="str">
        <x:v>S07</x:v>
      </x:c>
      <x:c r="B129" s="156" t="str">
        <x:v>Nghệ thuật / sự kiện / âm nhạc</x:v>
      </x:c>
      <x:c r="C129" s="157" t="str">
        <x:v>choir</x:v>
      </x:c>
      <x:c r="D129" s="156" t="str">
        <x:v>dàn hợp xướng</x:v>
      </x:c>
      <x:c r="E129" s="156" t="str">
        <x:v>N</x:v>
      </x:c>
      <x:c r="F129" s="156" t="str">
        <x:v>B1</x:v>
      </x:c>
      <x:c r="G129" s="156" t="str">
        <x:v>chorus</x:v>
      </x:c>
      <x:c r="H129" s="156" t="str">
        <x:v>Gradey City Choir</x:v>
      </x:c>
      <x:c r="I129" s="156" t="str"/>
      <x:c r="J129" s="156" t="str">
        <x:v>Part 7 Q196–200</x:v>
      </x:c>
      <x:c r="K129" s="156" t="str">
        <x:v>Cao</x:v>
      </x:c>
      <x:c r="L129" s="156" t="str">
        <x:v>Chưa học</x:v>
      </x:c>
    </x:row>
    <x:row r="130">
      <x:c r="A130" s="156" t="str">
        <x:v>S07</x:v>
      </x:c>
      <x:c r="B130" s="156" t="str">
        <x:v>Nghệ thuật / sự kiện / âm nhạc</x:v>
      </x:c>
      <x:c r="C130" s="157" t="str">
        <x:v>vocalist</x:v>
      </x:c>
      <x:c r="D130" s="156" t="str">
        <x:v>ca sĩ</x:v>
      </x:c>
      <x:c r="E130" s="156" t="str">
        <x:v>N</x:v>
      </x:c>
      <x:c r="F130" s="156" t="str">
        <x:v>B2</x:v>
      </x:c>
      <x:c r="G130" s="156" t="str">
        <x:v>singer</x:v>
      </x:c>
      <x:c r="H130" s="156" t="str">
        <x:v>vocalist positions</x:v>
      </x:c>
      <x:c r="I130" s="156" t="str">
        <x:v>vocal → vocalist</x:v>
      </x:c>
      <x:c r="J130" s="156" t="str">
        <x:v>Part 7 Q196–200</x:v>
      </x:c>
      <x:c r="K130" s="156" t="str">
        <x:v>Cao</x:v>
      </x:c>
      <x:c r="L130" s="156" t="str">
        <x:v>Chưa học</x:v>
      </x:c>
    </x:row>
    <x:row r="131">
      <x:c r="A131" s="156" t="str">
        <x:v>S07</x:v>
      </x:c>
      <x:c r="B131" s="156" t="str">
        <x:v>Nghệ thuật / sự kiện / âm nhạc</x:v>
      </x:c>
      <x:c r="C131" s="157" t="str">
        <x:v>alto</x:v>
      </x:c>
      <x:c r="D131" s="156" t="str">
        <x:v>giọng nữ trầm</x:v>
      </x:c>
      <x:c r="E131" s="156" t="str">
        <x:v>N</x:v>
      </x:c>
      <x:c r="F131" s="156" t="str">
        <x:v>C1</x:v>
      </x:c>
      <x:c r="G131" s="156" t="str">
        <x:v>low female voice</x:v>
      </x:c>
      <x:c r="H131" s="156" t="str">
        <x:v>seek an alto and a tenor</x:v>
      </x:c>
      <x:c r="I131" s="156" t="str"/>
      <x:c r="J131" s="156" t="str">
        <x:v>Part 7 Q196–200</x:v>
      </x:c>
      <x:c r="K131" s="156" t="str">
        <x:v>Trung bình</x:v>
      </x:c>
      <x:c r="L131" s="156" t="str">
        <x:v>Chưa học</x:v>
      </x:c>
    </x:row>
    <x:row r="132">
      <x:c r="A132" s="156" t="str">
        <x:v>S07</x:v>
      </x:c>
      <x:c r="B132" s="156" t="str">
        <x:v>Nghệ thuật / sự kiện / âm nhạc</x:v>
      </x:c>
      <x:c r="C132" s="157" t="str">
        <x:v>tenor</x:v>
      </x:c>
      <x:c r="D132" s="156" t="str">
        <x:v>giọng nam cao</x:v>
      </x:c>
      <x:c r="E132" s="156" t="str">
        <x:v>N</x:v>
      </x:c>
      <x:c r="F132" s="156" t="str">
        <x:v>C1</x:v>
      </x:c>
      <x:c r="G132" s="156" t="str">
        <x:v>high male voice</x:v>
      </x:c>
      <x:c r="H132" s="156" t="str">
        <x:v>seek an alto and a tenor</x:v>
      </x:c>
      <x:c r="I132" s="156" t="str"/>
      <x:c r="J132" s="156" t="str">
        <x:v>Part 7 Q196–200</x:v>
      </x:c>
      <x:c r="K132" s="156" t="str">
        <x:v>Trung bình</x:v>
      </x:c>
      <x:c r="L132" s="156" t="str">
        <x:v>Chưa học</x:v>
      </x:c>
    </x:row>
    <x:row r="133">
      <x:c r="A133" s="156" t="str">
        <x:v>S07</x:v>
      </x:c>
      <x:c r="B133" s="156" t="str">
        <x:v>Nghệ thuật / sự kiện / âm nhạc</x:v>
      </x:c>
      <x:c r="C133" s="157" t="str">
        <x:v>oratorio</x:v>
      </x:c>
      <x:c r="D133" s="156" t="str">
        <x:v>thanh xướng kịch</x:v>
      </x:c>
      <x:c r="E133" s="156" t="str">
        <x:v>N</x:v>
      </x:c>
      <x:c r="F133" s="156" t="str">
        <x:v>C1</x:v>
      </x:c>
      <x:c r="G133" s="156" t="str">
        <x:v>large-scale choral work</x:v>
      </x:c>
      <x:c r="H133" s="156" t="str">
        <x:v>debut a special oratorio</x:v>
      </x:c>
      <x:c r="I133" s="156" t="str"/>
      <x:c r="J133" s="156" t="str">
        <x:v>Part 7 Q196–200</x:v>
      </x:c>
      <x:c r="K133" s="156" t="str">
        <x:v>Trung bình</x:v>
      </x:c>
      <x:c r="L133" s="156" t="str">
        <x:v>Chưa học</x:v>
      </x:c>
    </x:row>
    <x:row r="134">
      <x:c r="A134" s="156" t="str">
        <x:v>S07</x:v>
      </x:c>
      <x:c r="B134" s="156" t="str">
        <x:v>Nghệ thuật / sự kiện / âm nhạc</x:v>
      </x:c>
      <x:c r="C134" s="157" t="str">
        <x:v>composition</x:v>
      </x:c>
      <x:c r="D134" s="156" t="str">
        <x:v>tác phẩm âm nhạc / sự sáng tác</x:v>
      </x:c>
      <x:c r="E134" s="156" t="str">
        <x:v>N</x:v>
      </x:c>
      <x:c r="F134" s="156" t="str">
        <x:v>B2</x:v>
      </x:c>
      <x:c r="G134" s="156" t="str">
        <x:v>musical work</x:v>
      </x:c>
      <x:c r="H134" s="156" t="str">
        <x:v>perform this composition</x:v>
      </x:c>
      <x:c r="I134" s="156" t="str">
        <x:v>compose → composition</x:v>
      </x:c>
      <x:c r="J134" s="156" t="str">
        <x:v>Part 7 Q196–200</x:v>
      </x:c>
      <x:c r="K134" s="156" t="str">
        <x:v>Cao</x:v>
      </x:c>
      <x:c r="L134" s="156" t="str">
        <x:v>Chưa học</x:v>
      </x:c>
    </x:row>
    <x:row r="135">
      <x:c r="A135" s="156" t="str">
        <x:v>S07</x:v>
      </x:c>
      <x:c r="B135" s="156" t="str">
        <x:v>Nghệ thuật / sự kiện / âm nhạc</x:v>
      </x:c>
      <x:c r="C135" s="157" t="str">
        <x:v>autumn lineup</x:v>
      </x:c>
      <x:c r="D135" s="156" t="str">
        <x:v>chương trình mùa thu</x:v>
      </x:c>
      <x:c r="E135" s="156" t="str">
        <x:v>Cụm</x:v>
      </x:c>
      <x:c r="F135" s="156" t="str">
        <x:v>B2</x:v>
      </x:c>
      <x:c r="G135" s="156" t="str">
        <x:v>season schedule</x:v>
      </x:c>
      <x:c r="H135" s="156" t="str">
        <x:v>complete the autumn lineup</x:v>
      </x:c>
      <x:c r="I135" s="156" t="str"/>
      <x:c r="J135" s="156" t="str">
        <x:v>Part 7 Q196–200</x:v>
      </x:c>
      <x:c r="K135" s="156" t="str">
        <x:v>Cao</x:v>
      </x:c>
      <x:c r="L135" s="156" t="str">
        <x:v>Chưa học</x:v>
      </x:c>
    </x:row>
    <x:row r="136">
      <x:c r="A136" s="156" t="str">
        <x:v>S07</x:v>
      </x:c>
      <x:c r="B136" s="156" t="str">
        <x:v>Nghệ thuật / sự kiện / âm nhạc</x:v>
      </x:c>
      <x:c r="C136" s="157" t="str">
        <x:v>sheet music</x:v>
      </x:c>
      <x:c r="D136" s="156" t="str">
        <x:v>bản nhạc</x:v>
      </x:c>
      <x:c r="E136" s="156" t="str">
        <x:v>Cụm</x:v>
      </x:c>
      <x:c r="F136" s="156" t="str">
        <x:v>B1</x:v>
      </x:c>
      <x:c r="G136" s="156" t="str">
        <x:v>musical score</x:v>
      </x:c>
      <x:c r="H136" s="156" t="str">
        <x:v>provide sheet music</x:v>
      </x:c>
      <x:c r="I136" s="156" t="str"/>
      <x:c r="J136" s="156" t="str">
        <x:v>Part 7 Q196–200</x:v>
      </x:c>
      <x:c r="K136" s="156" t="str">
        <x:v>Cao</x:v>
      </x:c>
      <x:c r="L136" s="156" t="str">
        <x:v>Chưa học</x:v>
      </x:c>
    </x:row>
    <x:row r="137">
      <x:c r="A137" s="158" t="str">
        <x:v>S07</x:v>
      </x:c>
      <x:c r="B137" s="158" t="str">
        <x:v>Nghệ thuật / sự kiện / âm nhạc</x:v>
      </x:c>
      <x:c r="C137" s="159" t="str">
        <x:v>audition</x:v>
      </x:c>
      <x:c r="D137" s="158" t="str">
        <x:v>buổi thử giọng / thử vai</x:v>
      </x:c>
      <x:c r="E137" s="158" t="str">
        <x:v>N/V</x:v>
      </x:c>
      <x:c r="F137" s="158" t="str">
        <x:v>B1</x:v>
      </x:c>
      <x:c r="G137" s="158" t="str">
        <x:v>tryout</x:v>
      </x:c>
      <x:c r="H137" s="158" t="str">
        <x:v>prepare for an audition</x:v>
      </x:c>
      <x:c r="I137" s="158" t="str">
        <x:v>audition → auditionee</x:v>
      </x:c>
      <x:c r="J137" s="158" t="str">
        <x:v>Part 5 Q127 / Part 7 Q196–200</x:v>
      </x:c>
      <x:c r="K137" s="158" t="str">
        <x:v>Rất cao</x:v>
      </x:c>
      <x:c r="L137" s="158" t="str">
        <x:v>Chưa học</x:v>
      </x:c>
    </x:row>
    <x:row r="138">
      <x:c r="A138" s="158" t="str">
        <x:v>S07</x:v>
      </x:c>
      <x:c r="B138" s="158" t="str">
        <x:v>Nghệ thuật / sự kiện / âm nhạc</x:v>
      </x:c>
      <x:c r="C138" s="159" t="str">
        <x:v>rehearsal</x:v>
      </x:c>
      <x:c r="D138" s="158" t="str">
        <x:v>buổi diễn tập</x:v>
      </x:c>
      <x:c r="E138" s="158" t="str">
        <x:v>N</x:v>
      </x:c>
      <x:c r="F138" s="158" t="str">
        <x:v>B1</x:v>
      </x:c>
      <x:c r="G138" s="158" t="str">
        <x:v>practice session</x:v>
      </x:c>
      <x:c r="H138" s="158" t="str">
        <x:v>report for rehearsals</x:v>
      </x:c>
      <x:c r="I138" s="158" t="str">
        <x:v>rehearse → rehearsal</x:v>
      </x:c>
      <x:c r="J138" s="158" t="str">
        <x:v>Part 7 Q196–200</x:v>
      </x:c>
      <x:c r="K138" s="158" t="str">
        <x:v>Rất cao</x:v>
      </x:c>
      <x:c r="L138" s="158" t="str">
        <x:v>Chưa học</x:v>
      </x:c>
    </x:row>
    <x:row r="139">
      <x:c r="A139" s="158" t="str">
        <x:v>S08</x:v>
      </x:c>
      <x:c r="B139" s="158" t="str">
        <x:v>Giáo dục / nghiên cứu</x:v>
      </x:c>
      <x:c r="C139" s="159" t="str">
        <x:v>institute</x:v>
      </x:c>
      <x:c r="D139" s="158" t="str">
        <x:v>viện / học viện</x:v>
      </x:c>
      <x:c r="E139" s="158" t="str">
        <x:v>N</x:v>
      </x:c>
      <x:c r="F139" s="158" t="str">
        <x:v>B1</x:v>
      </x:c>
      <x:c r="G139" s="158" t="str">
        <x:v>institution</x:v>
      </x:c>
      <x:c r="H139" s="158" t="str">
        <x:v>the Whitetail Institute</x:v>
      </x:c>
      <x:c r="I139" s="158" t="str"/>
      <x:c r="J139" s="158" t="str">
        <x:v>Part 5 Q115</x:v>
      </x:c>
      <x:c r="K139" s="158" t="str">
        <x:v>Cao</x:v>
      </x:c>
      <x:c r="L139" s="158" t="str">
        <x:v>Chưa học</x:v>
      </x:c>
    </x:row>
    <x:row r="140">
      <x:c r="A140" s="158" t="str">
        <x:v>S08</x:v>
      </x:c>
      <x:c r="B140" s="158" t="str">
        <x:v>Giáo dục / nghiên cứu</x:v>
      </x:c>
      <x:c r="C140" s="159" t="str">
        <x:v>study result</x:v>
      </x:c>
      <x:c r="D140" s="158" t="str">
        <x:v>kết quả nghiên cứu</x:v>
      </x:c>
      <x:c r="E140" s="158" t="str">
        <x:v>Cụm</x:v>
      </x:c>
      <x:c r="F140" s="158" t="str">
        <x:v>B1</x:v>
      </x:c>
      <x:c r="G140" s="158" t="str">
        <x:v>research finding</x:v>
      </x:c>
      <x:c r="H140" s="158" t="str">
        <x:v>results of the study</x:v>
      </x:c>
      <x:c r="I140" s="158" t="str"/>
      <x:c r="J140" s="158" t="str">
        <x:v>Part 5 Q118</x:v>
      </x:c>
      <x:c r="K140" s="158" t="str">
        <x:v>Cao</x:v>
      </x:c>
      <x:c r="L140" s="158" t="str">
        <x:v>Chưa học</x:v>
      </x:c>
    </x:row>
    <x:row r="141">
      <x:c r="A141" s="158" t="str">
        <x:v>S08</x:v>
      </x:c>
      <x:c r="B141" s="158" t="str">
        <x:v>Giáo dục / nghiên cứu</x:v>
      </x:c>
      <x:c r="C141" s="159" t="str">
        <x:v>professional development seminar</x:v>
      </x:c>
      <x:c r="D141" s="158" t="str">
        <x:v>hội thảo phát triển chuyên môn</x:v>
      </x:c>
      <x:c r="E141" s="158" t="str">
        <x:v>Cụm</x:v>
      </x:c>
      <x:c r="F141" s="158" t="str">
        <x:v>B2</x:v>
      </x:c>
      <x:c r="G141" s="158" t="str">
        <x:v>training seminar</x:v>
      </x:c>
      <x:c r="H141" s="158" t="str">
        <x:v>lead a professional development seminar</x:v>
      </x:c>
      <x:c r="I141" s="158" t="str"/>
      <x:c r="J141" s="158" t="str">
        <x:v>Part 7 Q161–163</x:v>
      </x:c>
      <x:c r="K141" s="158" t="str">
        <x:v>Rất cao</x:v>
      </x:c>
      <x:c r="L141" s="158" t="str">
        <x:v>Chưa học</x:v>
      </x:c>
    </x:row>
    <x:row r="142">
      <x:c r="A142" s="158" t="str">
        <x:v>S08</x:v>
      </x:c>
      <x:c r="B142" s="158" t="str">
        <x:v>Giáo dục / nghiên cứu</x:v>
      </x:c>
      <x:c r="C142" s="159" t="str">
        <x:v>academia</x:v>
      </x:c>
      <x:c r="D142" s="158" t="str">
        <x:v>giới học thuật</x:v>
      </x:c>
      <x:c r="E142" s="158" t="str">
        <x:v>N</x:v>
      </x:c>
      <x:c r="F142" s="158" t="str">
        <x:v>C1</x:v>
      </x:c>
      <x:c r="G142" s="158" t="str">
        <x:v>academic world</x:v>
      </x:c>
      <x:c r="H142" s="158" t="str">
        <x:v>individuals who work in academia</x:v>
      </x:c>
      <x:c r="I142" s="158" t="str">
        <x:v>academic → academia</x:v>
      </x:c>
      <x:c r="J142" s="158" t="str">
        <x:v>Part 7 Q161–163</x:v>
      </x:c>
      <x:c r="K142" s="158" t="str">
        <x:v>Cao</x:v>
      </x:c>
      <x:c r="L142" s="158" t="str">
        <x:v>Chưa học</x:v>
      </x:c>
    </x:row>
    <x:row r="143">
      <x:c r="A143" s="158" t="str">
        <x:v>S08</x:v>
      </x:c>
      <x:c r="B143" s="158" t="str">
        <x:v>Giáo dục / nghiên cứu</x:v>
      </x:c>
      <x:c r="C143" s="159" t="str">
        <x:v>research report</x:v>
      </x:c>
      <x:c r="D143" s="158" t="str">
        <x:v>báo cáo nghiên cứu</x:v>
      </x:c>
      <x:c r="E143" s="158" t="str">
        <x:v>Cụm</x:v>
      </x:c>
      <x:c r="F143" s="158" t="str">
        <x:v>B1</x:v>
      </x:c>
      <x:c r="G143" s="158" t="str">
        <x:v>study report</x:v>
      </x:c>
      <x:c r="H143" s="158" t="str">
        <x:v>read the complete research report</x:v>
      </x:c>
      <x:c r="I143" s="158" t="str"/>
      <x:c r="J143" s="158" t="str">
        <x:v>Part 7 Q161–163</x:v>
      </x:c>
      <x:c r="K143" s="158" t="str">
        <x:v>Cao</x:v>
      </x:c>
      <x:c r="L143" s="158" t="str">
        <x:v>Chưa học</x:v>
      </x:c>
    </x:row>
    <x:row r="144">
      <x:c r="A144" s="158" t="str">
        <x:v>S08</x:v>
      </x:c>
      <x:c r="B144" s="158" t="str">
        <x:v>Giáo dục / nghiên cứu</x:v>
      </x:c>
      <x:c r="C144" s="159" t="str">
        <x:v>bachelor's degree</x:v>
      </x:c>
      <x:c r="D144" s="158" t="str">
        <x:v>bằng cử nhân</x:v>
      </x:c>
      <x:c r="E144" s="158" t="str">
        <x:v>Cụm</x:v>
      </x:c>
      <x:c r="F144" s="158" t="str">
        <x:v>B1</x:v>
      </x:c>
      <x:c r="G144" s="158" t="str">
        <x:v>undergraduate degree</x:v>
      </x:c>
      <x:c r="H144" s="158" t="str">
        <x:v>have a bachelor's degree</x:v>
      </x:c>
      <x:c r="I144" s="158" t="str"/>
      <x:c r="J144" s="158" t="str">
        <x:v>Part 7 Q164–167</x:v>
      </x:c>
      <x:c r="K144" s="158" t="str">
        <x:v>Rất cao</x:v>
      </x:c>
      <x:c r="L144" s="158" t="str">
        <x:v>Chưa học</x:v>
      </x:c>
    </x:row>
    <x:row r="145">
      <x:c r="A145" s="158" t="str">
        <x:v>S08</x:v>
      </x:c>
      <x:c r="B145" s="158" t="str">
        <x:v>Giáo dục / nghiên cứu</x:v>
      </x:c>
      <x:c r="C145" s="159" t="str">
        <x:v>technical writing</x:v>
      </x:c>
      <x:c r="D145" s="158" t="str">
        <x:v>viết kỹ thuật</x:v>
      </x:c>
      <x:c r="E145" s="158" t="str">
        <x:v>Cụm</x:v>
      </x:c>
      <x:c r="F145" s="158" t="str">
        <x:v>B2</x:v>
      </x:c>
      <x:c r="G145" s="158" t="str">
        <x:v>professional technical communication</x:v>
      </x:c>
      <x:c r="H145" s="158" t="str">
        <x:v>formal training in technical writing</x:v>
      </x:c>
      <x:c r="I145" s="158" t="str"/>
      <x:c r="J145" s="158" t="str">
        <x:v>Part 7 Q164–167</x:v>
      </x:c>
      <x:c r="K145" s="158" t="str">
        <x:v>Rất cao</x:v>
      </x:c>
      <x:c r="L145" s="158" t="str">
        <x:v>Chưa học</x:v>
      </x:c>
    </x:row>
    <x:row r="146">
      <x:c r="A146" s="158" t="str">
        <x:v>S08</x:v>
      </x:c>
      <x:c r="B146" s="158" t="str">
        <x:v>Giáo dục / nghiên cứu</x:v>
      </x:c>
      <x:c r="C146" s="159" t="str">
        <x:v>archaeologist</x:v>
      </x:c>
      <x:c r="D146" s="158" t="str">
        <x:v>nhà khảo cổ học</x:v>
      </x:c>
      <x:c r="E146" s="158" t="str">
        <x:v>N</x:v>
      </x:c>
      <x:c r="F146" s="158" t="str">
        <x:v>B2</x:v>
      </x:c>
      <x:c r="G146" s="158" t="str">
        <x:v>archaeology researcher</x:v>
      </x:c>
      <x:c r="H146" s="158" t="str">
        <x:v>resident archaeologist</x:v>
      </x:c>
      <x:c r="I146" s="158" t="str">
        <x:v>archaeology → archaeologist</x:v>
      </x:c>
      <x:c r="J146" s="158" t="str">
        <x:v>Part 7 Q186–190</x:v>
      </x:c>
      <x:c r="K146" s="158" t="str">
        <x:v>Rất cao</x:v>
      </x:c>
      <x:c r="L146" s="158" t="str">
        <x:v>Chưa học</x:v>
      </x:c>
    </x:row>
    <x:row r="147">
      <x:c r="A147" s="158" t="str">
        <x:v>S08</x:v>
      </x:c>
      <x:c r="B147" s="158" t="str">
        <x:v>Giáo dục / nghiên cứu</x:v>
      </x:c>
      <x:c r="C147" s="159" t="str">
        <x:v>earthenware relic</x:v>
      </x:c>
      <x:c r="D147" s="158" t="str">
        <x:v>di vật bằng đất nung</x:v>
      </x:c>
      <x:c r="E147" s="158" t="str">
        <x:v>Cụm</x:v>
      </x:c>
      <x:c r="F147" s="158" t="str">
        <x:v>C1</x:v>
      </x:c>
      <x:c r="G147" s="158" t="str">
        <x:v>pottery artifact</x:v>
      </x:c>
      <x:c r="H147" s="158" t="str">
        <x:v>earthenware relics</x:v>
      </x:c>
      <x:c r="I147" s="158" t="str"/>
      <x:c r="J147" s="158" t="str">
        <x:v>Part 7 Q186–190</x:v>
      </x:c>
      <x:c r="K147" s="158" t="str">
        <x:v>Cao</x:v>
      </x:c>
      <x:c r="L147" s="158" t="str">
        <x:v>Chưa học</x:v>
      </x:c>
    </x:row>
    <x:row r="148">
      <x:c r="A148" s="158" t="str">
        <x:v>S08</x:v>
      </x:c>
      <x:c r="B148" s="158" t="str">
        <x:v>Giáo dục / nghiên cứu</x:v>
      </x:c>
      <x:c r="C148" s="159" t="str">
        <x:v>unearthing</x:v>
      </x:c>
      <x:c r="D148" s="158" t="str">
        <x:v>sự khai quật / phát hiện</x:v>
      </x:c>
      <x:c r="E148" s="158" t="str">
        <x:v>N</x:v>
      </x:c>
      <x:c r="F148" s="158" t="str">
        <x:v>C1</x:v>
      </x:c>
      <x:c r="G148" s="158" t="str">
        <x:v>excavation; discovery</x:v>
      </x:c>
      <x:c r="H148" s="158" t="str">
        <x:v>the unearthing of pottery pieces</x:v>
      </x:c>
      <x:c r="I148" s="158" t="str">
        <x:v>unearth → unearthing</x:v>
      </x:c>
      <x:c r="J148" s="158" t="str">
        <x:v>Part 7 Q186–190</x:v>
      </x:c>
      <x:c r="K148" s="158" t="str">
        <x:v>Cao</x:v>
      </x:c>
      <x:c r="L148" s="158" t="str">
        <x:v>Chưa học</x:v>
      </x:c>
    </x:row>
    <x:row r="149">
      <x:c r="A149" s="158" t="str">
        <x:v>S08</x:v>
      </x:c>
      <x:c r="B149" s="158" t="str">
        <x:v>Giáo dục / nghiên cứu</x:v>
      </x:c>
      <x:c r="C149" s="159" t="str">
        <x:v>historical artifact</x:v>
      </x:c>
      <x:c r="D149" s="158" t="str">
        <x:v>hiện vật lịch sử</x:v>
      </x:c>
      <x:c r="E149" s="158" t="str">
        <x:v>Cụm</x:v>
      </x:c>
      <x:c r="F149" s="158" t="str">
        <x:v>B2</x:v>
      </x:c>
      <x:c r="G149" s="158" t="str">
        <x:v>relic</x:v>
      </x:c>
      <x:c r="H149" s="158" t="str">
        <x:v>identify and analyze artifacts</x:v>
      </x:c>
      <x:c r="I149" s="158" t="str"/>
      <x:c r="J149" s="158" t="str">
        <x:v>Part 7 Q186–190</x:v>
      </x:c>
      <x:c r="K149" s="158" t="str">
        <x:v>Rất cao</x:v>
      </x:c>
      <x:c r="L149" s="158" t="str">
        <x:v>Chưa học</x:v>
      </x:c>
    </x:row>
    <x:row r="150">
      <x:c r="A150" s="160" t="str">
        <x:v>S08</x:v>
      </x:c>
      <x:c r="B150" s="160" t="str">
        <x:v>Giáo dục / nghiên cứu</x:v>
      </x:c>
      <x:c r="C150" s="161" t="str">
        <x:v>research colleague</x:v>
      </x:c>
      <x:c r="D150" s="160" t="str">
        <x:v>đồng nghiệp nghiên cứu</x:v>
      </x:c>
      <x:c r="E150" s="160" t="str">
        <x:v>Cụm</x:v>
      </x:c>
      <x:c r="F150" s="160" t="str">
        <x:v>B2</x:v>
      </x:c>
      <x:c r="G150" s="160" t="str">
        <x:v>fellow researcher</x:v>
      </x:c>
      <x:c r="H150" s="160" t="str">
        <x:v>a former research colleague</x:v>
      </x:c>
      <x:c r="I150" s="160" t="str"/>
      <x:c r="J150" s="160" t="str">
        <x:v>Part 7 Q186–190</x:v>
      </x:c>
      <x:c r="K150" s="160" t="str">
        <x:v>Cao</x:v>
      </x:c>
      <x:c r="L150" s="160" t="str">
        <x:v>Chưa học</x:v>
      </x:c>
    </x:row>
    <x:row r="151">
      <x:c r="A151" s="160" t="str">
        <x:v>S08</x:v>
      </x:c>
      <x:c r="B151" s="160" t="str">
        <x:v>Giáo dục / nghiên cứu</x:v>
      </x:c>
      <x:c r="C151" s="161" t="str">
        <x:v>collaborate</x:v>
      </x:c>
      <x:c r="D151" s="160" t="str">
        <x:v>hợp tác</x:v>
      </x:c>
      <x:c r="E151" s="160" t="str">
        <x:v>V</x:v>
      </x:c>
      <x:c r="F151" s="160" t="str">
        <x:v>B2</x:v>
      </x:c>
      <x:c r="G151" s="160" t="str">
        <x:v>work together; partner</x:v>
      </x:c>
      <x:c r="H151" s="160" t="str">
        <x:v>collaborate on research projects</x:v>
      </x:c>
      <x:c r="I151" s="160" t="str">
        <x:v>collaboration → collaborative</x:v>
      </x:c>
      <x:c r="J151" s="160" t="str">
        <x:v>Part 7 Q161–163 / Q186–190</x:v>
      </x:c>
      <x:c r="K151" s="160" t="str">
        <x:v>Rất cao</x:v>
      </x:c>
      <x:c r="L151" s="160" t="str">
        <x:v>Chưa học</x:v>
      </x:c>
    </x:row>
    <x:row r="152">
      <x:c r="A152" s="160" t="str">
        <x:v>S08</x:v>
      </x:c>
      <x:c r="B152" s="160" t="str">
        <x:v>Giáo dục / nghiên cứu</x:v>
      </x:c>
      <x:c r="C152" s="161" t="str">
        <x:v>informative lecture</x:v>
      </x:c>
      <x:c r="D152" s="160" t="str">
        <x:v>bài giảng giàu thông tin</x:v>
      </x:c>
      <x:c r="E152" s="160" t="str">
        <x:v>Cụm</x:v>
      </x:c>
      <x:c r="F152" s="160" t="str">
        <x:v>B2</x:v>
      </x:c>
      <x:c r="G152" s="160" t="str">
        <x:v>educational talk</x:v>
      </x:c>
      <x:c r="H152" s="160" t="str">
        <x:v>an informative lecture</x:v>
      </x:c>
      <x:c r="I152" s="160" t="str">
        <x:v>inform → information → informative</x:v>
      </x:c>
      <x:c r="J152" s="160" t="str">
        <x:v>Part 7 Q186–190</x:v>
      </x:c>
      <x:c r="K152" s="160" t="str">
        <x:v>Cao</x:v>
      </x:c>
      <x:c r="L152" s="160" t="str">
        <x:v>Chưa học</x:v>
      </x:c>
    </x:row>
    <x:row r="153">
      <x:c r="A153" s="160" t="str">
        <x:v>S08</x:v>
      </x:c>
      <x:c r="B153" s="160" t="str">
        <x:v>Giáo dục / nghiên cứu</x:v>
      </x:c>
      <x:c r="C153" s="161" t="str">
        <x:v>contemplate</x:v>
      </x:c>
      <x:c r="D153" s="160" t="str">
        <x:v>suy ngẫm</x:v>
      </x:c>
      <x:c r="E153" s="160" t="str">
        <x:v>V</x:v>
      </x:c>
      <x:c r="F153" s="160" t="str">
        <x:v>C1</x:v>
      </x:c>
      <x:c r="G153" s="160" t="str">
        <x:v>consider deeply</x:v>
      </x:c>
      <x:c r="H153" s="160" t="str">
        <x:v>amazing to contemplate</x:v>
      </x:c>
      <x:c r="I153" s="160" t="str">
        <x:v>contemplation → contemplative</x:v>
      </x:c>
      <x:c r="J153" s="160" t="str">
        <x:v>Part 7 Q186–190</x:v>
      </x:c>
      <x:c r="K153" s="160" t="str">
        <x:v>Cao</x:v>
      </x:c>
      <x:c r="L153" s="160" t="str">
        <x:v>Chưa học</x:v>
      </x:c>
    </x:row>
    <x:row r="154">
      <x:c r="A154" s="160" t="str">
        <x:v>S09</x:v>
      </x:c>
      <x:c r="B154" s="160" t="str">
        <x:v>Môi trường / cộng đồng</x:v>
      </x:c>
      <x:c r="C154" s="161" t="str">
        <x:v>deer population</x:v>
      </x:c>
      <x:c r="D154" s="160" t="str">
        <x:v>quần thể hươu</x:v>
      </x:c>
      <x:c r="E154" s="160" t="str">
        <x:v>Cụm</x:v>
      </x:c>
      <x:c r="F154" s="160" t="str">
        <x:v>B2</x:v>
      </x:c>
      <x:c r="G154" s="160" t="str">
        <x:v>deer numbers</x:v>
      </x:c>
      <x:c r="H154" s="160" t="str">
        <x:v>track deer populations</x:v>
      </x:c>
      <x:c r="I154" s="160" t="str"/>
      <x:c r="J154" s="160" t="str">
        <x:v>Part 5 Q115</x:v>
      </x:c>
      <x:c r="K154" s="160" t="str">
        <x:v>Cao</x:v>
      </x:c>
      <x:c r="L154" s="160" t="str">
        <x:v>Chưa học</x:v>
      </x:c>
    </x:row>
    <x:row r="155">
      <x:c r="A155" s="160" t="str">
        <x:v>S09</x:v>
      </x:c>
      <x:c r="B155" s="160" t="str">
        <x:v>Môi trường / cộng đồng</x:v>
      </x:c>
      <x:c r="C155" s="161" t="str">
        <x:v>suburban area</x:v>
      </x:c>
      <x:c r="D155" s="160" t="str">
        <x:v>khu vực ngoại ô</x:v>
      </x:c>
      <x:c r="E155" s="160" t="str">
        <x:v>Cụm</x:v>
      </x:c>
      <x:c r="F155" s="160" t="str">
        <x:v>B1</x:v>
      </x:c>
      <x:c r="G155" s="160" t="str">
        <x:v>residential outskirts</x:v>
      </x:c>
      <x:c r="H155" s="160" t="str">
        <x:v>rapidly expanding suburban areas</x:v>
      </x:c>
      <x:c r="I155" s="160" t="str"/>
      <x:c r="J155" s="160" t="str">
        <x:v>Part 5 Q115</x:v>
      </x:c>
      <x:c r="K155" s="160" t="str">
        <x:v>Cao</x:v>
      </x:c>
      <x:c r="L155" s="160" t="str">
        <x:v>Chưa học</x:v>
      </x:c>
    </x:row>
    <x:row r="156">
      <x:c r="A156" s="160" t="str">
        <x:v>S09</x:v>
      </x:c>
      <x:c r="B156" s="160" t="str">
        <x:v>Môi trường / cộng đồng</x:v>
      </x:c>
      <x:c r="C156" s="161" t="str">
        <x:v>community group</x:v>
      </x:c>
      <x:c r="D156" s="160" t="str">
        <x:v>nhóm cộng đồng</x:v>
      </x:c>
      <x:c r="E156" s="160" t="str">
        <x:v>Cụm</x:v>
      </x:c>
      <x:c r="F156" s="160" t="str">
        <x:v>B1</x:v>
      </x:c>
      <x:c r="G156" s="160" t="str">
        <x:v>local association</x:v>
      </x:c>
      <x:c r="H156" s="160" t="str">
        <x:v>local community group</x:v>
      </x:c>
      <x:c r="I156" s="160" t="str"/>
      <x:c r="J156" s="160" t="str">
        <x:v>Part 7 Q168–171</x:v>
      </x:c>
      <x:c r="K156" s="160" t="str">
        <x:v>Cao</x:v>
      </x:c>
      <x:c r="L156" s="160" t="str">
        <x:v>Chưa học</x:v>
      </x:c>
    </x:row>
    <x:row r="157">
      <x:c r="A157" s="160" t="str">
        <x:v>S09</x:v>
      </x:c>
      <x:c r="B157" s="160" t="str">
        <x:v>Môi trường / cộng đồng</x:v>
      </x:c>
      <x:c r="C157" s="161" t="str">
        <x:v>raise funds</x:v>
      </x:c>
      <x:c r="D157" s="160" t="str">
        <x:v>gây quỹ</x:v>
      </x:c>
      <x:c r="E157" s="160" t="str">
        <x:v>Cụm</x:v>
      </x:c>
      <x:c r="F157" s="160" t="str">
        <x:v>B1</x:v>
      </x:c>
      <x:c r="G157" s="160" t="str">
        <x:v>collect donations</x:v>
      </x:c>
      <x:c r="H157" s="160" t="str">
        <x:v>raise funds to build a garden</x:v>
      </x:c>
      <x:c r="I157" s="160" t="str"/>
      <x:c r="J157" s="160" t="str">
        <x:v>Part 7 Q168–171</x:v>
      </x:c>
      <x:c r="K157" s="160" t="str">
        <x:v>Rất cao</x:v>
      </x:c>
      <x:c r="L157" s="160" t="str">
        <x:v>Chưa học</x:v>
      </x:c>
    </x:row>
    <x:row r="158">
      <x:c r="A158" s="160" t="str">
        <x:v>S09</x:v>
      </x:c>
      <x:c r="B158" s="160" t="str">
        <x:v>Môi trường / cộng đồng</x:v>
      </x:c>
      <x:c r="C158" s="161" t="str">
        <x:v>rely on donations</x:v>
      </x:c>
      <x:c r="D158" s="160" t="str">
        <x:v>phụ thuộc vào khoản quyên góp</x:v>
      </x:c>
      <x:c r="E158" s="160" t="str">
        <x:v>Cụm</x:v>
      </x:c>
      <x:c r="F158" s="160" t="str">
        <x:v>B2</x:v>
      </x:c>
      <x:c r="G158" s="160" t="str">
        <x:v>be donation-funded</x:v>
      </x:c>
      <x:c r="H158" s="160" t="str">
        <x:v>rely entirely on donations</x:v>
      </x:c>
      <x:c r="I158" s="160" t="str"/>
      <x:c r="J158" s="160" t="str">
        <x:v>Part 7 Q168–171</x:v>
      </x:c>
      <x:c r="K158" s="160" t="str">
        <x:v>Rất cao</x:v>
      </x:c>
      <x:c r="L158" s="160" t="str">
        <x:v>Chưa học</x:v>
      </x:c>
    </x:row>
    <x:row r="159">
      <x:c r="A159" s="160" t="str">
        <x:v>S09</x:v>
      </x:c>
      <x:c r="B159" s="160" t="str">
        <x:v>Môi trường / cộng đồng</x:v>
      </x:c>
      <x:c r="C159" s="161" t="str">
        <x:v>restoration</x:v>
      </x:c>
      <x:c r="D159" s="160" t="str">
        <x:v>sự phục hồi / trùng tu</x:v>
      </x:c>
      <x:c r="E159" s="160" t="str">
        <x:v>N</x:v>
      </x:c>
      <x:c r="F159" s="160" t="str">
        <x:v>B2</x:v>
      </x:c>
      <x:c r="G159" s="160" t="str">
        <x:v>rehabilitation; renewal</x:v>
      </x:c>
      <x:c r="H159" s="160" t="str">
        <x:v>park restoration</x:v>
      </x:c>
      <x:c r="I159" s="160" t="str">
        <x:v>restore → restoration</x:v>
      </x:c>
      <x:c r="J159" s="160" t="str">
        <x:v>Part 7 Q168–171</x:v>
      </x:c>
      <x:c r="K159" s="160" t="str">
        <x:v>Cao</x:v>
      </x:c>
      <x:c r="L159" s="160" t="str">
        <x:v>Chưa học</x:v>
      </x:c>
    </x:row>
    <x:row r="160">
      <x:c r="A160" s="160" t="str">
        <x:v>S09</x:v>
      </x:c>
      <x:c r="B160" s="160" t="str">
        <x:v>Môi trường / cộng đồng</x:v>
      </x:c>
      <x:c r="C160" s="161" t="str">
        <x:v>enhancement</x:v>
      </x:c>
      <x:c r="D160" s="160" t="str">
        <x:v>sự cải thiện / nâng cấp</x:v>
      </x:c>
      <x:c r="E160" s="160" t="str">
        <x:v>N</x:v>
      </x:c>
      <x:c r="F160" s="160" t="str">
        <x:v>B2</x:v>
      </x:c>
      <x:c r="G160" s="160" t="str">
        <x:v>improvement</x:v>
      </x:c>
      <x:c r="H160" s="160" t="str">
        <x:v>restoration and enhancement</x:v>
      </x:c>
      <x:c r="I160" s="160" t="str">
        <x:v>enhance → enhancement</x:v>
      </x:c>
      <x:c r="J160" s="160" t="str">
        <x:v>Part 7 Q168–171</x:v>
      </x:c>
      <x:c r="K160" s="160" t="str">
        <x:v>Cao</x:v>
      </x:c>
      <x:c r="L160" s="160" t="str">
        <x:v>Chưa học</x:v>
      </x:c>
    </x:row>
    <x:row r="161">
      <x:c r="A161" s="162" t="str">
        <x:v>S09</x:v>
      </x:c>
      <x:c r="B161" s="162" t="str">
        <x:v>Môi trường / cộng đồng</x:v>
      </x:c>
      <x:c r="C161" s="163" t="str">
        <x:v>abundant birdlife</x:v>
      </x:c>
      <x:c r="D161" s="162" t="str">
        <x:v>đời sống chim muông phong phú</x:v>
      </x:c>
      <x:c r="E161" s="162" t="str">
        <x:v>Cụm</x:v>
      </x:c>
      <x:c r="F161" s="162" t="str">
        <x:v>B2</x:v>
      </x:c>
      <x:c r="G161" s="162" t="str">
        <x:v>rich bird population</x:v>
      </x:c>
      <x:c r="H161" s="162" t="str">
        <x:v>attract abundant birdlife</x:v>
      </x:c>
      <x:c r="I161" s="162" t="str">
        <x:v>abundance → abundant</x:v>
      </x:c>
      <x:c r="J161" s="162" t="str">
        <x:v>Part 7 Q168–171</x:v>
      </x:c>
      <x:c r="K161" s="162" t="str">
        <x:v>Rất cao</x:v>
      </x:c>
      <x:c r="L161" s="162" t="str">
        <x:v>Chưa học</x:v>
      </x:c>
    </x:row>
    <x:row r="162">
      <x:c r="A162" s="162" t="str">
        <x:v>S09</x:v>
      </x:c>
      <x:c r="B162" s="162" t="str">
        <x:v>Môi trường / cộng đồng</x:v>
      </x:c>
      <x:c r="C162" s="163" t="str">
        <x:v>lifelong resident</x:v>
      </x:c>
      <x:c r="D162" s="162" t="str">
        <x:v>cư dân lâu năm / suốt đời</x:v>
      </x:c>
      <x:c r="E162" s="162" t="str">
        <x:v>Cụm</x:v>
      </x:c>
      <x:c r="F162" s="162" t="str">
        <x:v>B2</x:v>
      </x:c>
      <x:c r="G162" s="162" t="str">
        <x:v>long-term local resident</x:v>
      </x:c>
      <x:c r="H162" s="162" t="str">
        <x:v>a lifelong resident of the city</x:v>
      </x:c>
      <x:c r="I162" s="162" t="str"/>
      <x:c r="J162" s="162" t="str">
        <x:v>Part 7 Q168–171</x:v>
      </x:c>
      <x:c r="K162" s="162" t="str">
        <x:v>Cao</x:v>
      </x:c>
      <x:c r="L162" s="162" t="str">
        <x:v>Chưa học</x:v>
      </x:c>
    </x:row>
    <x:row r="163">
      <x:c r="A163" s="162" t="str">
        <x:v>S09</x:v>
      </x:c>
      <x:c r="B163" s="162" t="str">
        <x:v>Môi trường / cộng đồng</x:v>
      </x:c>
      <x:c r="C163" s="163" t="str">
        <x:v>border the park</x:v>
      </x:c>
      <x:c r="D163" s="162" t="str">
        <x:v>giáp công viên</x:v>
      </x:c>
      <x:c r="E163" s="162" t="str">
        <x:v>Cụm</x:v>
      </x:c>
      <x:c r="F163" s="162" t="str">
        <x:v>B1</x:v>
      </x:c>
      <x:c r="G163" s="162" t="str">
        <x:v>be adjacent to the park</x:v>
      </x:c>
      <x:c r="H163" s="162" t="str">
        <x:v>the school borders the park</x:v>
      </x:c>
      <x:c r="I163" s="162" t="str"/>
      <x:c r="J163" s="162" t="str">
        <x:v>Part 7 Q168–171</x:v>
      </x:c>
      <x:c r="K163" s="162" t="str">
        <x:v>Cao</x:v>
      </x:c>
      <x:c r="L163" s="162" t="str">
        <x:v>Chưa học</x:v>
      </x:c>
    </x:row>
    <x:row r="164">
      <x:c r="A164" s="162" t="str">
        <x:v>S09</x:v>
      </x:c>
      <x:c r="B164" s="162" t="str">
        <x:v>Môi trường / cộng đồng</x:v>
      </x:c>
      <x:c r="C164" s="163" t="str">
        <x:v>secure funds</x:v>
      </x:c>
      <x:c r="D164" s="162" t="str">
        <x:v>đảm bảo nguồn vốn</x:v>
      </x:c>
      <x:c r="E164" s="162" t="str">
        <x:v>Cụm</x:v>
      </x:c>
      <x:c r="F164" s="162" t="str">
        <x:v>B2</x:v>
      </x:c>
      <x:c r="G164" s="162" t="str">
        <x:v>obtain funding</x:v>
      </x:c>
      <x:c r="H164" s="162" t="str">
        <x:v>enough funds have been secured</x:v>
      </x:c>
      <x:c r="I164" s="162" t="str">
        <x:v>secure → security</x:v>
      </x:c>
      <x:c r="J164" s="162" t="str">
        <x:v>Part 7 Q168–171</x:v>
      </x:c>
      <x:c r="K164" s="162" t="str">
        <x:v>Rất cao</x:v>
      </x:c>
      <x:c r="L164" s="162" t="str">
        <x:v>Chưa học</x:v>
      </x:c>
    </x:row>
    <x:row r="165">
      <x:c r="A165" s="162" t="str">
        <x:v>S09</x:v>
      </x:c>
      <x:c r="B165" s="162" t="str">
        <x:v>Môi trường / cộng đồng</x:v>
      </x:c>
      <x:c r="C165" s="163" t="str">
        <x:v>topsoil</x:v>
      </x:c>
      <x:c r="D165" s="162" t="str">
        <x:v>lớp đất mặt</x:v>
      </x:c>
      <x:c r="E165" s="162" t="str">
        <x:v>N</x:v>
      </x:c>
      <x:c r="F165" s="162" t="str">
        <x:v>B2</x:v>
      </x:c>
      <x:c r="G165" s="162" t="str">
        <x:v>surface soil</x:v>
      </x:c>
      <x:c r="H165" s="162" t="str">
        <x:v>lay fresh topsoil</x:v>
      </x:c>
      <x:c r="I165" s="162" t="str"/>
      <x:c r="J165" s="162" t="str">
        <x:v>Part 7 Q168–171</x:v>
      </x:c>
      <x:c r="K165" s="162" t="str">
        <x:v>Cao</x:v>
      </x:c>
      <x:c r="L165" s="162" t="str">
        <x:v>Chưa học</x:v>
      </x:c>
    </x:row>
    <x:row r="166">
      <x:c r="A166" s="162" t="str">
        <x:v>S09</x:v>
      </x:c>
      <x:c r="B166" s="162" t="str">
        <x:v>Môi trường / cộng đồng</x:v>
      </x:c>
      <x:c r="C166" s="163" t="str">
        <x:v>designated area</x:v>
      </x:c>
      <x:c r="D166" s="162" t="str">
        <x:v>khu vực được chỉ định</x:v>
      </x:c>
      <x:c r="E166" s="162" t="str">
        <x:v>Cụm</x:v>
      </x:c>
      <x:c r="F166" s="162" t="str">
        <x:v>B2</x:v>
      </x:c>
      <x:c r="G166" s="162" t="str">
        <x:v>assigned zone</x:v>
      </x:c>
      <x:c r="H166" s="162" t="str">
        <x:v>area designated for the garden</x:v>
      </x:c>
      <x:c r="I166" s="162" t="str">
        <x:v>designate → designation</x:v>
      </x:c>
      <x:c r="J166" s="162" t="str">
        <x:v>Part 7 Q168–171</x:v>
      </x:c>
      <x:c r="K166" s="162" t="str">
        <x:v>Cao</x:v>
      </x:c>
      <x:c r="L166" s="162" t="str">
        <x:v>Chưa học</x:v>
      </x:c>
    </x:row>
    <x:row r="167">
      <x:c r="A167" s="162" t="str">
        <x:v>S09</x:v>
      </x:c>
      <x:c r="B167" s="162" t="str">
        <x:v>Môi trường / cộng đồng</x:v>
      </x:c>
      <x:c r="C167" s="163" t="str">
        <x:v>eco-friendly</x:v>
      </x:c>
      <x:c r="D167" s="162" t="str">
        <x:v>thân thiện với môi trường</x:v>
      </x:c>
      <x:c r="E167" s="162" t="str">
        <x:v>Adj</x:v>
      </x:c>
      <x:c r="F167" s="162" t="str">
        <x:v>B1</x:v>
      </x:c>
      <x:c r="G167" s="162" t="str">
        <x:v>environmentally friendly</x:v>
      </x:c>
      <x:c r="H167" s="162" t="str">
        <x:v>eco-friendly bicycles</x:v>
      </x:c>
      <x:c r="I167" s="162" t="str"/>
      <x:c r="J167" s="162" t="str">
        <x:v>Part 7 Q176–180</x:v>
      </x:c>
      <x:c r="K167" s="162" t="str">
        <x:v>Rất cao</x:v>
      </x:c>
      <x:c r="L167" s="162" t="str">
        <x:v>Chưa học</x:v>
      </x:c>
    </x:row>
    <x:row r="168">
      <x:c r="A168" s="162" t="str">
        <x:v>S10</x:v>
      </x:c>
      <x:c r="B168" s="162" t="str">
        <x:v>Sản phẩm / sản xuất / bán lẻ</x:v>
      </x:c>
      <x:c r="C168" s="163" t="str">
        <x:v>boutique</x:v>
      </x:c>
      <x:c r="D168" s="162" t="str">
        <x:v>cửa hàng thời trang nhỏ</x:v>
      </x:c>
      <x:c r="E168" s="162" t="str">
        <x:v>N</x:v>
      </x:c>
      <x:c r="F168" s="162" t="str">
        <x:v>B1</x:v>
      </x:c>
      <x:c r="G168" s="162" t="str">
        <x:v>specialty shop</x:v>
      </x:c>
      <x:c r="H168" s="162" t="str">
        <x:v>Frankie's Boutique</x:v>
      </x:c>
      <x:c r="I168" s="162" t="str"/>
      <x:c r="J168" s="162" t="str">
        <x:v>Part 5 Q113</x:v>
      </x:c>
      <x:c r="K168" s="162" t="str">
        <x:v>Cao</x:v>
      </x:c>
      <x:c r="L168" s="162" t="str">
        <x:v>Chưa học</x:v>
      </x:c>
    </x:row>
    <x:row r="169">
      <x:c r="A169" s="162" t="str">
        <x:v>S10</x:v>
      </x:c>
      <x:c r="B169" s="162" t="str">
        <x:v>Sản phẩm / sản xuất / bán lẻ</x:v>
      </x:c>
      <x:c r="C169" s="163" t="str">
        <x:v>retail shop</x:v>
      </x:c>
      <x:c r="D169" s="162" t="str">
        <x:v>cửa hàng bán lẻ</x:v>
      </x:c>
      <x:c r="E169" s="162" t="str">
        <x:v>Cụm</x:v>
      </x:c>
      <x:c r="F169" s="162" t="str">
        <x:v>B1</x:v>
      </x:c>
      <x:c r="G169" s="162" t="str">
        <x:v>retail store</x:v>
      </x:c>
      <x:c r="H169" s="162" t="str">
        <x:v>accessories retail shop</x:v>
      </x:c>
      <x:c r="I169" s="162" t="str"/>
      <x:c r="J169" s="162" t="str">
        <x:v>Part 5 Q110</x:v>
      </x:c>
      <x:c r="K169" s="162" t="str">
        <x:v>Cao</x:v>
      </x:c>
      <x:c r="L169" s="162" t="str">
        <x:v>Chưa học</x:v>
      </x:c>
    </x:row>
    <x:row r="170">
      <x:c r="A170" s="162" t="str">
        <x:v>S10</x:v>
      </x:c>
      <x:c r="B170" s="162" t="str">
        <x:v>Sản phẩm / sản xuất / bán lẻ</x:v>
      </x:c>
      <x:c r="C170" s="163" t="str">
        <x:v>productivity</x:v>
      </x:c>
      <x:c r="D170" s="162" t="str">
        <x:v>năng suất</x:v>
      </x:c>
      <x:c r="E170" s="162" t="str">
        <x:v>N</x:v>
      </x:c>
      <x:c r="F170" s="162" t="str">
        <x:v>B1</x:v>
      </x:c>
      <x:c r="G170" s="162" t="str">
        <x:v>efficiency; output</x:v>
      </x:c>
      <x:c r="H170" s="162" t="str">
        <x:v>maximize productivity</x:v>
      </x:c>
      <x:c r="I170" s="162" t="str">
        <x:v>productive → productivity</x:v>
      </x:c>
      <x:c r="J170" s="162" t="str">
        <x:v>Part 5 Q105 / Part 7 Q155–157</x:v>
      </x:c>
      <x:c r="K170" s="162" t="str">
        <x:v>Rất cao</x:v>
      </x:c>
      <x:c r="L170" s="162" t="str">
        <x:v>Chưa học</x:v>
      </x:c>
    </x:row>
    <x:row r="171">
      <x:c r="A171" s="162" t="str">
        <x:v>S10</x:v>
      </x:c>
      <x:c r="B171" s="162" t="str">
        <x:v>Sản phẩm / sản xuất / bán lẻ</x:v>
      </x:c>
      <x:c r="C171" s="163" t="str">
        <x:v>product designer</x:v>
      </x:c>
      <x:c r="D171" s="162" t="str">
        <x:v>nhà thiết kế sản phẩm</x:v>
      </x:c>
      <x:c r="E171" s="162" t="str">
        <x:v>Cụm</x:v>
      </x:c>
      <x:c r="F171" s="162" t="str">
        <x:v>B1</x:v>
      </x:c>
      <x:c r="G171" s="162" t="str">
        <x:v>industrial designer</x:v>
      </x:c>
      <x:c r="H171" s="162" t="str">
        <x:v>product designer Lewis Sung</x:v>
      </x:c>
      <x:c r="I171" s="162" t="str"/>
      <x:c r="J171" s="162" t="str">
        <x:v>Part 7 Q158–160</x:v>
      </x:c>
      <x:c r="K171" s="162" t="str">
        <x:v>Cao</x:v>
      </x:c>
      <x:c r="L171" s="162" t="str">
        <x:v>Chưa học</x:v>
      </x:c>
    </x:row>
    <x:row r="172">
      <x:c r="A172" s="162" t="str">
        <x:v>S10</x:v>
      </x:c>
      <x:c r="B172" s="162" t="str">
        <x:v>Sản phẩm / sản xuất / bán lẻ</x:v>
      </x:c>
      <x:c r="C172" s="163" t="str">
        <x:v>product launch</x:v>
      </x:c>
      <x:c r="D172" s="162" t="str">
        <x:v>sự ra mắt sản phẩm</x:v>
      </x:c>
      <x:c r="E172" s="162" t="str">
        <x:v>Cụm</x:v>
      </x:c>
      <x:c r="F172" s="162" t="str">
        <x:v>B1</x:v>
      </x:c>
      <x:c r="G172" s="162" t="str">
        <x:v>product release</x:v>
      </x:c>
      <x:c r="H172" s="162" t="str">
        <x:v>launch of the newest products</x:v>
      </x:c>
      <x:c r="I172" s="162" t="str">
        <x:v>launch → launched</x:v>
      </x:c>
      <x:c r="J172" s="162" t="str">
        <x:v>Part 7 Q158–160</x:v>
      </x:c>
      <x:c r="K172" s="162" t="str">
        <x:v>Cao</x:v>
      </x:c>
      <x:c r="L172" s="162" t="str">
        <x:v>Chưa học</x:v>
      </x:c>
    </x:row>
    <x:row r="173">
      <x:c r="A173" s="162" t="str">
        <x:v>S10</x:v>
      </x:c>
      <x:c r="B173" s="162" t="str">
        <x:v>Sản phẩm / sản xuất / bán lẻ</x:v>
      </x:c>
      <x:c r="C173" s="163" t="str">
        <x:v>product design</x:v>
      </x:c>
      <x:c r="D173" s="162" t="str">
        <x:v>thiết kế sản phẩm</x:v>
      </x:c>
      <x:c r="E173" s="162" t="str">
        <x:v>Cụm</x:v>
      </x:c>
      <x:c r="F173" s="162" t="str">
        <x:v>B1</x:v>
      </x:c>
      <x:c r="G173" s="162" t="str">
        <x:v>industrial design</x:v>
      </x:c>
      <x:c r="H173" s="162" t="str">
        <x:v>director of product design</x:v>
      </x:c>
      <x:c r="I173" s="162" t="str"/>
      <x:c r="J173" s="162" t="str">
        <x:v>Part 7 Q158–160</x:v>
      </x:c>
      <x:c r="K173" s="162" t="str">
        <x:v>Cao</x:v>
      </x:c>
      <x:c r="L173" s="162" t="str">
        <x:v>Chưa học</x:v>
      </x:c>
    </x:row>
    <x:row r="174">
      <x:c r="A174" s="164" t="str">
        <x:v>S10</x:v>
      </x:c>
      <x:c r="B174" s="164" t="str">
        <x:v>Sản phẩm / sản xuất / bán lẻ</x:v>
      </x:c>
      <x:c r="C174" s="165" t="str">
        <x:v>construction and finish</x:v>
      </x:c>
      <x:c r="D174" s="164" t="str">
        <x:v>kết cấu và lớp hoàn thiện</x:v>
      </x:c>
      <x:c r="E174" s="164" t="str">
        <x:v>Cụm</x:v>
      </x:c>
      <x:c r="F174" s="164" t="str">
        <x:v>B2</x:v>
      </x:c>
      <x:c r="G174" s="164" t="str">
        <x:v>build quality and surface finish</x:v>
      </x:c>
      <x:c r="H174" s="164" t="str">
        <x:v>guarantee on construction and finish</x:v>
      </x:c>
      <x:c r="I174" s="164" t="str"/>
      <x:c r="J174" s="164" t="str">
        <x:v>Part 7 Q155–157</x:v>
      </x:c>
      <x:c r="K174" s="164" t="str">
        <x:v>Cao</x:v>
      </x:c>
      <x:c r="L174" s="164" t="str">
        <x:v>Chưa học</x:v>
      </x:c>
    </x:row>
    <x:row r="175">
      <x:c r="A175" s="164" t="str">
        <x:v>S10</x:v>
      </x:c>
      <x:c r="B175" s="164" t="str">
        <x:v>Sản phẩm / sản xuất / bán lẻ</x:v>
      </x:c>
      <x:c r="C175" s="165" t="str">
        <x:v>ten-year guarantee</x:v>
      </x:c>
      <x:c r="D175" s="164" t="str">
        <x:v>bảo hành mười năm</x:v>
      </x:c>
      <x:c r="E175" s="164" t="str">
        <x:v>Cụm</x:v>
      </x:c>
      <x:c r="F175" s="164" t="str">
        <x:v>B1</x:v>
      </x:c>
      <x:c r="G175" s="164" t="str">
        <x:v>ten-year warranty</x:v>
      </x:c>
      <x:c r="H175" s="164" t="str">
        <x:v>backed by a ten-year guarantee</x:v>
      </x:c>
      <x:c r="I175" s="164" t="str">
        <x:v>guarantee → guaranteed</x:v>
      </x:c>
      <x:c r="J175" s="164" t="str">
        <x:v>Part 7 Q155–157</x:v>
      </x:c>
      <x:c r="K175" s="164" t="str">
        <x:v>Rất cao</x:v>
      </x:c>
      <x:c r="L175" s="164" t="str">
        <x:v>Chưa học</x:v>
      </x:c>
    </x:row>
    <x:row r="176">
      <x:c r="A176" s="164" t="str">
        <x:v>S10</x:v>
      </x:c>
      <x:c r="B176" s="164" t="str">
        <x:v>Sản phẩm / sản xuất / bán lẻ</x:v>
      </x:c>
      <x:c r="C176" s="165" t="str">
        <x:v>bulk purchase</x:v>
      </x:c>
      <x:c r="D176" s="164" t="str">
        <x:v>mua số lượng lớn</x:v>
      </x:c>
      <x:c r="E176" s="164" t="str">
        <x:v>Cụm</x:v>
      </x:c>
      <x:c r="F176" s="164" t="str">
        <x:v>B2</x:v>
      </x:c>
      <x:c r="G176" s="164" t="str">
        <x:v>volume purchase</x:v>
      </x:c>
      <x:c r="H176" s="164" t="str">
        <x:v>price quote for a bulk order</x:v>
      </x:c>
      <x:c r="I176" s="164" t="str"/>
      <x:c r="J176" s="164" t="str">
        <x:v>Part 7 Q155–157</x:v>
      </x:c>
      <x:c r="K176" s="164" t="str">
        <x:v>Cao</x:v>
      </x:c>
      <x:c r="L176" s="164" t="str">
        <x:v>Chưa học</x:v>
      </x:c>
    </x:row>
    <x:row r="177">
      <x:c r="A177" s="164" t="str">
        <x:v>S10</x:v>
      </x:c>
      <x:c r="B177" s="164" t="str">
        <x:v>Sản phẩm / sản xuất / bán lẻ</x:v>
      </x:c>
      <x:c r="C177" s="165" t="str">
        <x:v>three-wheeled cargo bicycle</x:v>
      </x:c>
      <x:c r="D177" s="164" t="str">
        <x:v>xe đạp chở hàng ba bánh</x:v>
      </x:c>
      <x:c r="E177" s="164" t="str">
        <x:v>Cụm</x:v>
      </x:c>
      <x:c r="F177" s="164" t="str">
        <x:v>B2</x:v>
      </x:c>
      <x:c r="G177" s="164" t="str">
        <x:v>cargo tricycle</x:v>
      </x:c>
      <x:c r="H177" s="164" t="str">
        <x:v>make three-wheeled cargo bicycles</x:v>
      </x:c>
      <x:c r="I177" s="164" t="str"/>
      <x:c r="J177" s="164" t="str">
        <x:v>Part 7 Q176–180</x:v>
      </x:c>
      <x:c r="K177" s="164" t="str">
        <x:v>Cao</x:v>
      </x:c>
      <x:c r="L177" s="164" t="str">
        <x:v>Chưa học</x:v>
      </x:c>
    </x:row>
    <x:row r="178">
      <x:c r="A178" s="164" t="str">
        <x:v>S10</x:v>
      </x:c>
      <x:c r="B178" s="164" t="str">
        <x:v>Sản phẩm / sản xuất / bán lẻ</x:v>
      </x:c>
      <x:c r="C178" s="165" t="str">
        <x:v>handmade</x:v>
      </x:c>
      <x:c r="D178" s="164" t="str">
        <x:v>làm thủ công</x:v>
      </x:c>
      <x:c r="E178" s="164" t="str">
        <x:v>Adj</x:v>
      </x:c>
      <x:c r="F178" s="164" t="str">
        <x:v>B1</x:v>
      </x:c>
      <x:c r="G178" s="164" t="str">
        <x:v>handcrafted</x:v>
      </x:c>
      <x:c r="H178" s="164" t="str">
        <x:v>all bicycles are made by hand</x:v>
      </x:c>
      <x:c r="I178" s="164" t="str">
        <x:v>hand → handmade</x:v>
      </x:c>
      <x:c r="J178" s="164" t="str">
        <x:v>Part 7 Q176–180</x:v>
      </x:c>
      <x:c r="K178" s="164" t="str">
        <x:v>Cao</x:v>
      </x:c>
      <x:c r="L178" s="164" t="str">
        <x:v>Chưa học</x:v>
      </x:c>
    </x:row>
    <x:row r="179">
      <x:c r="A179" s="164" t="str">
        <x:v>S10</x:v>
      </x:c>
      <x:c r="B179" s="164" t="str">
        <x:v>Sản phẩm / sản xuất / bán lẻ</x:v>
      </x:c>
      <x:c r="C179" s="165" t="str">
        <x:v>local craftsperson</x:v>
      </x:c>
      <x:c r="D179" s="164" t="str">
        <x:v>thợ thủ công địa phương</x:v>
      </x:c>
      <x:c r="E179" s="164" t="str">
        <x:v>Cụm</x:v>
      </x:c>
      <x:c r="F179" s="164" t="str">
        <x:v>B2</x:v>
      </x:c>
      <x:c r="G179" s="164" t="str">
        <x:v>local artisan</x:v>
      </x:c>
      <x:c r="H179" s="164" t="str">
        <x:v>parts made by local craftspeople</x:v>
      </x:c>
      <x:c r="I179" s="164" t="str">
        <x:v>craft → craftsperson</x:v>
      </x:c>
      <x:c r="J179" s="164" t="str">
        <x:v>Part 7 Q176–180</x:v>
      </x:c>
      <x:c r="K179" s="164" t="str">
        <x:v>Cao</x:v>
      </x:c>
      <x:c r="L179" s="164" t="str">
        <x:v>Chưa học</x:v>
      </x:c>
    </x:row>
    <x:row r="180">
      <x:c r="A180" s="164" t="str">
        <x:v>S10</x:v>
      </x:c>
      <x:c r="B180" s="164" t="str">
        <x:v>Sản phẩm / sản xuất / bán lẻ</x:v>
      </x:c>
      <x:c r="C180" s="165" t="str">
        <x:v>bulky item</x:v>
      </x:c>
      <x:c r="D180" s="164" t="str">
        <x:v>vật cồng kềnh</x:v>
      </x:c>
      <x:c r="E180" s="164" t="str">
        <x:v>Cụm</x:v>
      </x:c>
      <x:c r="F180" s="164" t="str">
        <x:v>B2</x:v>
      </x:c>
      <x:c r="G180" s="164" t="str">
        <x:v>large item</x:v>
      </x:c>
      <x:c r="H180" s="164" t="str">
        <x:v>bring bulky items home</x:v>
      </x:c>
      <x:c r="I180" s="164" t="str"/>
      <x:c r="J180" s="164" t="str">
        <x:v>Part 7 Q176–180</x:v>
      </x:c>
      <x:c r="K180" s="164" t="str">
        <x:v>Cao</x:v>
      </x:c>
      <x:c r="L180" s="164" t="str">
        <x:v>Chưa học</x:v>
      </x:c>
    </x:row>
    <x:row r="181">
      <x:c r="A181" s="164" t="str">
        <x:v>S10</x:v>
      </x:c>
      <x:c r="B181" s="164" t="str">
        <x:v>Sản phẩm / sản xuất / bán lẻ</x:v>
      </x:c>
      <x:c r="C181" s="165" t="str">
        <x:v>high-quality</x:v>
      </x:c>
      <x:c r="D181" s="164" t="str">
        <x:v>chất lượng cao</x:v>
      </x:c>
      <x:c r="E181" s="164" t="str">
        <x:v>Adj</x:v>
      </x:c>
      <x:c r="F181" s="164" t="str">
        <x:v>B1</x:v>
      </x:c>
      <x:c r="G181" s="164" t="str">
        <x:v>premium; well-made</x:v>
      </x:c>
      <x:c r="H181" s="164" t="str">
        <x:v>high-quality bicycles</x:v>
      </x:c>
      <x:c r="I181" s="164" t="str">
        <x:v>quality → qualitative</x:v>
      </x:c>
      <x:c r="J181" s="164" t="str">
        <x:v>Part 7 Q176–180</x:v>
      </x:c>
      <x:c r="K181" s="164" t="str">
        <x:v>Cao</x:v>
      </x:c>
      <x:c r="L181" s="164" t="str">
        <x:v>Chưa học</x:v>
      </x:c>
    </x:row>
    <x:row r="182">
      <x:c r="A182" s="164" t="str">
        <x:v>S10</x:v>
      </x:c>
      <x:c r="B182" s="164" t="str">
        <x:v>Sản phẩm / sản xuất / bán lẻ</x:v>
      </x:c>
      <x:c r="C182" s="165" t="str">
        <x:v>functional</x:v>
      </x:c>
      <x:c r="D182" s="164" t="str">
        <x:v>thiết thực / có công năng tốt</x:v>
      </x:c>
      <x:c r="E182" s="164" t="str">
        <x:v>Adj</x:v>
      </x:c>
      <x:c r="F182" s="164" t="str">
        <x:v>B2</x:v>
      </x:c>
      <x:c r="G182" s="164" t="str">
        <x:v>practical; usable</x:v>
      </x:c>
      <x:c r="H182" s="164" t="str">
        <x:v>create functional pieces</x:v>
      </x:c>
      <x:c r="I182" s="164" t="str">
        <x:v>function → functional</x:v>
      </x:c>
      <x:c r="J182" s="164" t="str">
        <x:v>Part 7 Q181–185</x:v>
      </x:c>
      <x:c r="K182" s="164" t="str">
        <x:v>Rất cao</x:v>
      </x:c>
      <x:c r="L182" s="164" t="str">
        <x:v>Chưa học</x:v>
      </x:c>
    </x:row>
    <x:row r="183">
      <x:c r="A183" s="164" t="str">
        <x:v>S10</x:v>
      </x:c>
      <x:c r="B183" s="164" t="str">
        <x:v>Sản phẩm / sản xuất / bán lẻ</x:v>
      </x:c>
      <x:c r="C183" s="165" t="str">
        <x:v>aesthetics</x:v>
      </x:c>
      <x:c r="D183" s="164" t="str">
        <x:v>tính thẩm mỹ</x:v>
      </x:c>
      <x:c r="E183" s="164" t="str">
        <x:v>N</x:v>
      </x:c>
      <x:c r="F183" s="164" t="str">
        <x:v>C1</x:v>
      </x:c>
      <x:c r="G183" s="164" t="str">
        <x:v>visual appeal</x:v>
      </x:c>
      <x:c r="H183" s="164" t="str">
        <x:v>balance aesthetics and practicality</x:v>
      </x:c>
      <x:c r="I183" s="164" t="str">
        <x:v>aesthetic → aesthetically</x:v>
      </x:c>
      <x:c r="J183" s="164" t="str">
        <x:v>Part 7 Q181–185</x:v>
      </x:c>
      <x:c r="K183" s="164" t="str">
        <x:v>Rất cao</x:v>
      </x:c>
      <x:c r="L183" s="164" t="str">
        <x:v>Chưa học</x:v>
      </x:c>
    </x:row>
    <x:row r="184">
      <x:c r="A184" s="166" t="str">
        <x:v>S10</x:v>
      </x:c>
      <x:c r="B184" s="166" t="str">
        <x:v>Sản phẩm / sản xuất / bán lẻ</x:v>
      </x:c>
      <x:c r="C184" s="167" t="str">
        <x:v>practicality</x:v>
      </x:c>
      <x:c r="D184" s="166" t="str">
        <x:v>tính thực tiễn</x:v>
      </x:c>
      <x:c r="E184" s="166" t="str">
        <x:v>N</x:v>
      </x:c>
      <x:c r="F184" s="166" t="str">
        <x:v>B2</x:v>
      </x:c>
      <x:c r="G184" s="166" t="str">
        <x:v>usefulness</x:v>
      </x:c>
      <x:c r="H184" s="166" t="str">
        <x:v>balance practicality and convenience</x:v>
      </x:c>
      <x:c r="I184" s="166" t="str">
        <x:v>practical → practicality</x:v>
      </x:c>
      <x:c r="J184" s="166" t="str">
        <x:v>Part 7 Q181–185</x:v>
      </x:c>
      <x:c r="K184" s="166" t="str">
        <x:v>Rất cao</x:v>
      </x:c>
      <x:c r="L184" s="166" t="str">
        <x:v>Chưa học</x:v>
      </x:c>
    </x:row>
    <x:row r="185">
      <x:c r="A185" s="166" t="str">
        <x:v>S10</x:v>
      </x:c>
      <x:c r="B185" s="166" t="str">
        <x:v>Sản phẩm / sản xuất / bán lẻ</x:v>
      </x:c>
      <x:c r="C185" s="167" t="str">
        <x:v>convenience</x:v>
      </x:c>
      <x:c r="D185" s="166" t="str">
        <x:v>sự tiện lợi</x:v>
      </x:c>
      <x:c r="E185" s="166" t="str">
        <x:v>N</x:v>
      </x:c>
      <x:c r="F185" s="166" t="str">
        <x:v>B1</x:v>
      </x:c>
      <x:c r="G185" s="166" t="str">
        <x:v>ease; practicality</x:v>
      </x:c>
      <x:c r="H185" s="166" t="str">
        <x:v>balance convenience</x:v>
      </x:c>
      <x:c r="I185" s="166" t="str">
        <x:v>convenient → convenience</x:v>
      </x:c>
      <x:c r="J185" s="166" t="str">
        <x:v>Part 7 Q181–185</x:v>
      </x:c>
      <x:c r="K185" s="166" t="str">
        <x:v>Cao</x:v>
      </x:c>
      <x:c r="L185" s="166" t="str">
        <x:v>Chưa học</x:v>
      </x:c>
    </x:row>
    <x:row r="186">
      <x:c r="A186" s="166" t="str">
        <x:v>S10</x:v>
      </x:c>
      <x:c r="B186" s="166" t="str">
        <x:v>Sản phẩm / sản xuất / bán lẻ</x:v>
      </x:c>
      <x:c r="C186" s="167" t="str">
        <x:v>family business</x:v>
      </x:c>
      <x:c r="D186" s="166" t="str">
        <x:v>doanh nghiệp gia đình</x:v>
      </x:c>
      <x:c r="E186" s="166" t="str">
        <x:v>Cụm</x:v>
      </x:c>
      <x:c r="F186" s="166" t="str">
        <x:v>B1</x:v>
      </x:c>
      <x:c r="G186" s="166" t="str">
        <x:v>family-owned company</x:v>
      </x:c>
      <x:c r="H186" s="166" t="str">
        <x:v>be part of a family business</x:v>
      </x:c>
      <x:c r="I186" s="166" t="str"/>
      <x:c r="J186" s="166" t="str">
        <x:v>Part 7 Q181–185</x:v>
      </x:c>
      <x:c r="K186" s="166" t="str">
        <x:v>Cao</x:v>
      </x:c>
      <x:c r="L186" s="166" t="str">
        <x:v>Chưa học</x:v>
      </x:c>
    </x:row>
    <x:row r="187">
      <x:c r="A187" s="166" t="str">
        <x:v>S11</x:v>
      </x:c>
      <x:c r="B187" s="166" t="str">
        <x:v>Cơ sở vật chất / xây dựng</x:v>
      </x:c>
      <x:c r="C187" s="167" t="str">
        <x:v>renovation</x:v>
      </x:c>
      <x:c r="D187" s="166" t="str">
        <x:v>sự cải tạo / trùng tu</x:v>
      </x:c>
      <x:c r="E187" s="166" t="str">
        <x:v>N</x:v>
      </x:c>
      <x:c r="F187" s="166" t="str">
        <x:v>B2</x:v>
      </x:c>
      <x:c r="G187" s="166" t="str">
        <x:v>refurbishment</x:v>
      </x:c>
      <x:c r="H187" s="166" t="str">
        <x:v>station renovation plans</x:v>
      </x:c>
      <x:c r="I187" s="166" t="str">
        <x:v>renovate → renovation</x:v>
      </x:c>
      <x:c r="J187" s="166" t="str">
        <x:v>Part 7 Q149–150</x:v>
      </x:c>
      <x:c r="K187" s="166" t="str">
        <x:v>Rất cao</x:v>
      </x:c>
      <x:c r="L187" s="166" t="str">
        <x:v>Chưa học</x:v>
      </x:c>
    </x:row>
    <x:row r="188">
      <x:c r="A188" s="166" t="str">
        <x:v>S11</x:v>
      </x:c>
      <x:c r="B188" s="166" t="str">
        <x:v>Cơ sở vật chất / xây dựng</x:v>
      </x:c>
      <x:c r="C188" s="167" t="str">
        <x:v>in desperate need of repair</x:v>
      </x:c>
      <x:c r="D188" s="166" t="str">
        <x:v>rất cần được sửa chữa</x:v>
      </x:c>
      <x:c r="E188" s="166" t="str">
        <x:v>Cụm</x:v>
      </x:c>
      <x:c r="F188" s="166" t="str">
        <x:v>B2</x:v>
      </x:c>
      <x:c r="G188" s="166" t="str">
        <x:v>badly needs fixing</x:v>
      </x:c>
      <x:c r="H188" s="166" t="str">
        <x:v>station in desperate need of repair</x:v>
      </x:c>
      <x:c r="I188" s="166" t="str"/>
      <x:c r="J188" s="166" t="str">
        <x:v>Part 7 Q149–150</x:v>
      </x:c>
      <x:c r="K188" s="166" t="str">
        <x:v>Rất cao</x:v>
      </x:c>
      <x:c r="L188" s="166" t="str">
        <x:v>Chưa học</x:v>
      </x:c>
    </x:row>
    <x:row r="189">
      <x:c r="A189" s="166" t="str">
        <x:v>S11</x:v>
      </x:c>
      <x:c r="B189" s="166" t="str">
        <x:v>Cơ sở vật chất / xây dựng</x:v>
      </x:c>
      <x:c r="C189" s="167" t="str">
        <x:v>municipal engineering department</x:v>
      </x:c>
      <x:c r="D189" s="166" t="str">
        <x:v>phòng kỹ thuật công trình đô thị</x:v>
      </x:c>
      <x:c r="E189" s="166" t="str">
        <x:v>Cụm</x:v>
      </x:c>
      <x:c r="F189" s="166" t="str">
        <x:v>B2</x:v>
      </x:c>
      <x:c r="G189" s="166" t="str">
        <x:v>city engineering office</x:v>
      </x:c>
      <x:c r="H189" s="166" t="str">
        <x:v>plans submitted by the municipal engineering department</x:v>
      </x:c>
      <x:c r="I189" s="166" t="str"/>
      <x:c r="J189" s="166" t="str">
        <x:v>Part 7 Q149–150</x:v>
      </x:c>
      <x:c r="K189" s="166" t="str">
        <x:v>Cao</x:v>
      </x:c>
      <x:c r="L189" s="166" t="str">
        <x:v>Chưa học</x:v>
      </x:c>
    </x:row>
    <x:row r="190">
      <x:c r="A190" s="166" t="str">
        <x:v>S11</x:v>
      </x:c>
      <x:c r="B190" s="166" t="str">
        <x:v>Cơ sở vật chất / xây dựng</x:v>
      </x:c>
      <x:c r="C190" s="167" t="str">
        <x:v>entrance</x:v>
      </x:c>
      <x:c r="D190" s="166" t="str">
        <x:v>lối vào</x:v>
      </x:c>
      <x:c r="E190" s="166" t="str">
        <x:v>N</x:v>
      </x:c>
      <x:c r="F190" s="166" t="str">
        <x:v>B1</x:v>
      </x:c>
      <x:c r="G190" s="166" t="str">
        <x:v>entry; doorway</x:v>
      </x:c>
      <x:c r="H190" s="166" t="str">
        <x:v>a new entrance</x:v>
      </x:c>
      <x:c r="I190" s="166" t="str"/>
      <x:c r="J190" s="166" t="str">
        <x:v>Part 7 Q149–150 / Q186–190</x:v>
      </x:c>
      <x:c r="K190" s="166" t="str">
        <x:v>Cao</x:v>
      </x:c>
      <x:c r="L190" s="166" t="str">
        <x:v>Chưa học</x:v>
      </x:c>
    </x:row>
    <x:row r="191">
      <x:c r="A191" s="166" t="str">
        <x:v>S11</x:v>
      </x:c>
      <x:c r="B191" s="166" t="str">
        <x:v>Cơ sở vật chất / xây dựng</x:v>
      </x:c>
      <x:c r="C191" s="167" t="str">
        <x:v>roof</x:v>
      </x:c>
      <x:c r="D191" s="166" t="str">
        <x:v>mái nhà</x:v>
      </x:c>
      <x:c r="E191" s="166" t="str">
        <x:v>N</x:v>
      </x:c>
      <x:c r="F191" s="166" t="str">
        <x:v>B1</x:v>
      </x:c>
      <x:c r="G191" s="166" t="str">
        <x:v>covering</x:v>
      </x:c>
      <x:c r="H191" s="166" t="str">
        <x:v>replace the station roof</x:v>
      </x:c>
      <x:c r="I191" s="166" t="str"/>
      <x:c r="J191" s="166" t="str">
        <x:v>Part 7 Q149–150</x:v>
      </x:c>
      <x:c r="K191" s="166" t="str">
        <x:v>Cao</x:v>
      </x:c>
      <x:c r="L191" s="166" t="str">
        <x:v>Chưa học</x:v>
      </x:c>
    </x:row>
    <x:row r="192">
      <x:c r="A192" s="166" t="str">
        <x:v>S11</x:v>
      </x:c>
      <x:c r="B192" s="166" t="str">
        <x:v>Cơ sở vật chất / xây dựng</x:v>
      </x:c>
      <x:c r="C192" s="167" t="str">
        <x:v>mural</x:v>
      </x:c>
      <x:c r="D192" s="166" t="str">
        <x:v>tranh tường</x:v>
      </x:c>
      <x:c r="E192" s="166" t="str">
        <x:v>N</x:v>
      </x:c>
      <x:c r="F192" s="166" t="str">
        <x:v>B2</x:v>
      </x:c>
      <x:c r="G192" s="166" t="str">
        <x:v>wall painting</x:v>
      </x:c>
      <x:c r="H192" s="166" t="str">
        <x:v>murals for interior walls</x:v>
      </x:c>
      <x:c r="I192" s="166" t="str"/>
      <x:c r="J192" s="166" t="str">
        <x:v>Part 7 Q149–150</x:v>
      </x:c>
      <x:c r="K192" s="166" t="str">
        <x:v>Cao</x:v>
      </x:c>
      <x:c r="L192" s="166" t="str">
        <x:v>Chưa học</x:v>
      </x:c>
    </x:row>
    <x:row r="193">
      <x:c r="A193" s="166" t="str">
        <x:v>S11</x:v>
      </x:c>
      <x:c r="B193" s="166" t="str">
        <x:v>Cơ sở vật chất / xây dựng</x:v>
      </x:c>
      <x:c r="C193" s="167" t="str">
        <x:v>interior wall</x:v>
      </x:c>
      <x:c r="D193" s="166" t="str">
        <x:v>tường bên trong</x:v>
      </x:c>
      <x:c r="E193" s="166" t="str">
        <x:v>Cụm</x:v>
      </x:c>
      <x:c r="F193" s="166" t="str">
        <x:v>B1</x:v>
      </x:c>
      <x:c r="G193" s="166" t="str">
        <x:v>inside wall</x:v>
      </x:c>
      <x:c r="H193" s="166" t="str">
        <x:v>station interior walls</x:v>
      </x:c>
      <x:c r="I193" s="166" t="str"/>
      <x:c r="J193" s="166" t="str">
        <x:v>Part 7 Q149–150</x:v>
      </x:c>
      <x:c r="K193" s="166" t="str">
        <x:v>Cao</x:v>
      </x:c>
      <x:c r="L193" s="166" t="str">
        <x:v>Chưa học</x:v>
      </x:c>
    </x:row>
    <x:row r="194">
      <x:c r="A194" s="166" t="str">
        <x:v>S11</x:v>
      </x:c>
      <x:c r="B194" s="166" t="str">
        <x:v>Cơ sở vật chất / xây dựng</x:v>
      </x:c>
      <x:c r="C194" s="167" t="str">
        <x:v>temporary space</x:v>
      </x:c>
      <x:c r="D194" s="166" t="str">
        <x:v>không gian tạm thời</x:v>
      </x:c>
      <x:c r="E194" s="166" t="str">
        <x:v>Cụm</x:v>
      </x:c>
      <x:c r="F194" s="166" t="str">
        <x:v>B1</x:v>
      </x:c>
      <x:c r="G194" s="166" t="str">
        <x:v>short-term space</x:v>
      </x:c>
      <x:c r="H194" s="166" t="str">
        <x:v>rent a temporary space</x:v>
      </x:c>
      <x:c r="I194" s="166" t="str"/>
      <x:c r="J194" s="166" t="str">
        <x:v>Part 7 Q153–154</x:v>
      </x:c>
      <x:c r="K194" s="166" t="str">
        <x:v>Cao</x:v>
      </x:c>
      <x:c r="L194" s="166" t="str">
        <x:v>Chưa học</x:v>
      </x:c>
    </x:row>
    <x:row r="195">
      <x:c r="A195" s="166" t="str">
        <x:v>S11</x:v>
      </x:c>
      <x:c r="B195" s="166" t="str">
        <x:v>Cơ sở vật chất / xây dựng</x:v>
      </x:c>
      <x:c r="C195" s="167" t="str">
        <x:v>adjustable furniture</x:v>
      </x:c>
      <x:c r="D195" s="166" t="str">
        <x:v>nội thất có thể điều chỉnh</x:v>
      </x:c>
      <x:c r="E195" s="166" t="str">
        <x:v>Cụm</x:v>
      </x:c>
      <x:c r="F195" s="166" t="str">
        <x:v>B2</x:v>
      </x:c>
      <x:c r="G195" s="166" t="str">
        <x:v>adaptable furniture</x:v>
      </x:c>
      <x:c r="H195" s="166" t="str">
        <x:v>adjustable standing desks</x:v>
      </x:c>
      <x:c r="I195" s="166" t="str"/>
      <x:c r="J195" s="166" t="str">
        <x:v>Part 7 Q155–157</x:v>
      </x:c>
      <x:c r="K195" s="166" t="str">
        <x:v>Cao</x:v>
      </x:c>
      <x:c r="L195" s="166" t="str">
        <x:v>Chưa học</x:v>
      </x:c>
    </x:row>
    <x:row r="196">
      <x:c r="A196" s="166" t="str">
        <x:v>S11</x:v>
      </x:c>
      <x:c r="B196" s="166" t="str">
        <x:v>Cơ sở vật chất / xây dựng</x:v>
      </x:c>
      <x:c r="C196" s="167" t="str">
        <x:v>factory floor</x:v>
      </x:c>
      <x:c r="D196" s="166" t="str">
        <x:v>khu vực sản xuất trong nhà máy</x:v>
      </x:c>
      <x:c r="E196" s="166" t="str">
        <x:v>Cụm</x:v>
      </x:c>
      <x:c r="F196" s="166" t="str">
        <x:v>B1</x:v>
      </x:c>
      <x:c r="G196" s="166" t="str">
        <x:v>production area</x:v>
      </x:c>
      <x:c r="H196" s="166" t="str">
        <x:v>work on the factory floor</x:v>
      </x:c>
      <x:c r="I196" s="166" t="str"/>
      <x:c r="J196" s="166" t="str">
        <x:v>Part 7 Q181–185</x:v>
      </x:c>
      <x:c r="K196" s="166" t="str">
        <x:v>Cao</x:v>
      </x:c>
      <x:c r="L196" s="166" t="str">
        <x:v>Chưa học</x:v>
      </x:c>
    </x:row>
    <x:row r="197">
      <x:c r="A197" s="166" t="str">
        <x:v>S11</x:v>
      </x:c>
      <x:c r="B197" s="166" t="str">
        <x:v>Cơ sở vật chất / xây dựng</x:v>
      </x:c>
      <x:c r="C197" s="167" t="str">
        <x:v>executive suite</x:v>
      </x:c>
      <x:c r="D197" s="166" t="str">
        <x:v>khu văn phòng điều hành</x:v>
      </x:c>
      <x:c r="E197" s="166" t="str">
        <x:v>Cụm</x:v>
      </x:c>
      <x:c r="F197" s="166" t="str">
        <x:v>B2</x:v>
      </x:c>
      <x:c r="G197" s="166" t="str">
        <x:v>management offices</x:v>
      </x:c>
      <x:c r="H197" s="166" t="str">
        <x:v>from factory floor to executive suite</x:v>
      </x:c>
      <x:c r="I197" s="166" t="str"/>
      <x:c r="J197" s="166" t="str">
        <x:v>Part 7 Q181–185</x:v>
      </x:c>
      <x:c r="K197" s="166" t="str">
        <x:v>Cao</x:v>
      </x:c>
      <x:c r="L197" s="166" t="str">
        <x:v>Chưa học</x:v>
      </x:c>
    </x:row>
    <x:row r="198">
      <x:c r="A198" s="166" t="str">
        <x:v>S11</x:v>
      </x:c>
      <x:c r="B198" s="166" t="str">
        <x:v>Cơ sở vật chất / xây dựng</x:v>
      </x:c>
      <x:c r="C198" s="167" t="str">
        <x:v>auditorium</x:v>
      </x:c>
      <x:c r="D198" s="166" t="str">
        <x:v>hội trường</x:v>
      </x:c>
      <x:c r="E198" s="166" t="str">
        <x:v>N</x:v>
      </x:c>
      <x:c r="F198" s="166" t="str">
        <x:v>B1</x:v>
      </x:c>
      <x:c r="G198" s="166" t="str">
        <x:v>assembly hall</x:v>
      </x:c>
      <x:c r="H198" s="166" t="str">
        <x:v>report to the auditorium</x:v>
      </x:c>
      <x:c r="I198" s="166" t="str"/>
      <x:c r="J198" s="166" t="str">
        <x:v>Part 7 Q196–200</x:v>
      </x:c>
      <x:c r="K198" s="166" t="str">
        <x:v>Cao</x:v>
      </x:c>
      <x:c r="L198" s="166" t="str">
        <x:v>Chưa học</x:v>
      </x:c>
    </x:row>
    <x:row r="199">
      <x:c r="A199" s="166" t="str">
        <x:v>S11</x:v>
      </x:c>
      <x:c r="B199" s="166" t="str">
        <x:v>Cơ sở vật chất / xây dựng</x:v>
      </x:c>
      <x:c r="C199" s="167" t="str">
        <x:v>facility</x:v>
      </x:c>
      <x:c r="D199" s="166" t="str">
        <x:v>cơ sở / nhà máy</x:v>
      </x:c>
      <x:c r="E199" s="166" t="str">
        <x:v>N</x:v>
      </x:c>
      <x:c r="F199" s="166" t="str">
        <x:v>B1</x:v>
      </x:c>
      <x:c r="G199" s="166" t="str">
        <x:v>premises; plant</x:v>
      </x:c>
      <x:c r="H199" s="166" t="str">
        <x:v>schedule a tour of a facility</x:v>
      </x:c>
      <x:c r="I199" s="166" t="str"/>
      <x:c r="J199" s="166" t="str">
        <x:v>Part 7 Q155–157 / Q176–180</x:v>
      </x:c>
      <x:c r="K199" s="166" t="str">
        <x:v>Cao</x:v>
      </x:c>
      <x:c r="L199" s="166" t="str">
        <x:v>Chưa học</x:v>
      </x:c>
    </x:row>
    <x:row r="200">
      <x:c r="A200" s="166" t="str">
        <x:v>S12</x:v>
      </x:c>
      <x:c r="B200" s="166" t="str">
        <x:v>Giao thông / đi lại</x:v>
      </x:c>
      <x:c r="C200" s="167" t="str">
        <x:v>commuter</x:v>
      </x:c>
      <x:c r="D200" s="166" t="str">
        <x:v>người đi làm hằng ngày</x:v>
      </x:c>
      <x:c r="E200" s="166" t="str">
        <x:v>N</x:v>
      </x:c>
      <x:c r="F200" s="166" t="str">
        <x:v>B1</x:v>
      </x:c>
      <x:c r="G200" s="166" t="str">
        <x:v>daily traveler</x:v>
      </x:c>
      <x:c r="H200" s="166" t="str">
        <x:v>commuters are relieved</x:v>
      </x:c>
      <x:c r="I200" s="166" t="str">
        <x:v>commute → commuter</x:v>
      </x:c>
      <x:c r="J200" s="166" t="str">
        <x:v>Part 7 Q149–150</x:v>
      </x:c>
      <x:c r="K200" s="166" t="str">
        <x:v>Cao</x:v>
      </x:c>
      <x:c r="L200" s="166" t="str">
        <x:v>Chưa học</x:v>
      </x:c>
    </x:row>
    <x:row r="201">
      <x:c r="A201" s="166" t="str">
        <x:v>S12</x:v>
      </x:c>
      <x:c r="B201" s="166" t="str">
        <x:v>Giao thông / đi lại</x:v>
      </x:c>
      <x:c r="C201" s="167" t="str">
        <x:v>railway station</x:v>
      </x:c>
      <x:c r="D201" s="166" t="str">
        <x:v>ga đường sắt</x:v>
      </x:c>
      <x:c r="E201" s="166" t="str">
        <x:v>Cụm</x:v>
      </x:c>
      <x:c r="F201" s="166" t="str">
        <x:v>B1</x:v>
      </x:c>
      <x:c r="G201" s="166" t="str">
        <x:v>train station</x:v>
      </x:c>
      <x:c r="H201" s="166" t="str">
        <x:v>River Avenue Railway Station</x:v>
      </x:c>
      <x:c r="I201" s="166" t="str"/>
      <x:c r="J201" s="166" t="str">
        <x:v>Part 7 Q149–150</x:v>
      </x:c>
      <x:c r="K201" s="166" t="str">
        <x:v>Cao</x:v>
      </x:c>
      <x:c r="L201" s="166" t="str">
        <x:v>Chưa học</x:v>
      </x:c>
    </x:row>
    <x:row r="202">
      <x:c r="A202" s="166" t="str">
        <x:v>S12</x:v>
      </x:c>
      <x:c r="B202" s="166" t="str">
        <x:v>Giao thông / đi lại</x:v>
      </x:c>
      <x:c r="C202" s="167" t="str">
        <x:v>warehouse van</x:v>
      </x:c>
      <x:c r="D202" s="166" t="str">
        <x:v>xe tải nhỏ chở hàng</x:v>
      </x:c>
      <x:c r="E202" s="166" t="str">
        <x:v>Cụm</x:v>
      </x:c>
      <x:c r="F202" s="166" t="str">
        <x:v>B1</x:v>
      </x:c>
      <x:c r="G202" s="166" t="str">
        <x:v>delivery van</x:v>
      </x:c>
      <x:c r="H202" s="166" t="str">
        <x:v>drive the van to the location</x:v>
      </x:c>
      <x:c r="I202" s="166" t="str"/>
      <x:c r="J202" s="166" t="str">
        <x:v>Part 7 Q153–154</x:v>
      </x:c>
      <x:c r="K202" s="166" t="str">
        <x:v>Cao</x:v>
      </x:c>
      <x:c r="L202" s="166" t="str">
        <x:v>Chưa học</x:v>
      </x:c>
    </x:row>
    <x:row r="203">
      <x:c r="A203" s="166" t="str">
        <x:v>S12</x:v>
      </x:c>
      <x:c r="B203" s="166" t="str">
        <x:v>Giao thông / đi lại</x:v>
      </x:c>
      <x:c r="C203" s="167" t="str">
        <x:v>cancelled flight</x:v>
      </x:c>
      <x:c r="D203" s="166" t="str">
        <x:v>chuyến bay bị hủy</x:v>
      </x:c>
      <x:c r="E203" s="166" t="str">
        <x:v>Cụm</x:v>
      </x:c>
      <x:c r="F203" s="166" t="str">
        <x:v>B1</x:v>
      </x:c>
      <x:c r="G203" s="166" t="str">
        <x:v>scrapped flight</x:v>
      </x:c>
      <x:c r="H203" s="166" t="str">
        <x:v>return flight has been canceled</x:v>
      </x:c>
      <x:c r="I203" s="166" t="str"/>
      <x:c r="J203" s="166" t="str">
        <x:v>Part 7 Q191–195</x:v>
      </x:c>
      <x:c r="K203" s="166" t="str">
        <x:v>Cao</x:v>
      </x:c>
      <x:c r="L203" s="166" t="str">
        <x:v>Chưa học</x:v>
      </x:c>
    </x:row>
    <x:row r="204">
      <x:c r="A204" s="166" t="str">
        <x:v>S12</x:v>
      </x:c>
      <x:c r="B204" s="166" t="str">
        <x:v>Giao thông / đi lại</x:v>
      </x:c>
      <x:c r="C204" s="167" t="str">
        <x:v>delayed return</x:v>
      </x:c>
      <x:c r="D204" s="166" t="str">
        <x:v>việc trở về bị trì hoãn</x:v>
      </x:c>
      <x:c r="E204" s="166" t="str">
        <x:v>Cụm</x:v>
      </x:c>
      <x:c r="F204" s="166" t="str">
        <x:v>B1</x:v>
      </x:c>
      <x:c r="G204" s="166" t="str">
        <x:v>late return</x:v>
      </x:c>
      <x:c r="H204" s="166" t="str">
        <x:v>subject: delayed return</x:v>
      </x:c>
      <x:c r="I204" s="166" t="str"/>
      <x:c r="J204" s="166" t="str">
        <x:v>Part 7 Q191–195</x:v>
      </x:c>
      <x:c r="K204" s="166" t="str">
        <x:v>Cao</x:v>
      </x:c>
      <x:c r="L204" s="166" t="str">
        <x:v>Chưa học</x:v>
      </x:c>
    </x:row>
    <x:row r="205">
      <x:c r="A205" s="166" t="str">
        <x:v>S12</x:v>
      </x:c>
      <x:c r="B205" s="166" t="str">
        <x:v>Giao thông / đi lại</x:v>
      </x:c>
      <x:c r="C205" s="167" t="str">
        <x:v>rearrange a calendar</x:v>
      </x:c>
      <x:c r="D205" s="166" t="str">
        <x:v>sắp xếp lại lịch</x:v>
      </x:c>
      <x:c r="E205" s="166" t="str">
        <x:v>Cụm</x:v>
      </x:c>
      <x:c r="F205" s="166" t="str">
        <x:v>B1</x:v>
      </x:c>
      <x:c r="G205" s="166" t="str">
        <x:v>reschedule appointments</x:v>
      </x:c>
      <x:c r="H205" s="166" t="str">
        <x:v>help rearrange the calendar</x:v>
      </x:c>
      <x:c r="I205" s="166" t="str"/>
      <x:c r="J205" s="166" t="str">
        <x:v>Part 7 Q191–195</x:v>
      </x:c>
      <x:c r="K205" s="166" t="str">
        <x:v>Rất cao</x:v>
      </x:c>
      <x:c r="L205" s="166" t="str">
        <x:v>Chưa học</x:v>
      </x:c>
    </x:row>
    <x:row r="206">
      <x:c r="A206" s="166" t="str">
        <x:v>S12</x:v>
      </x:c>
      <x:c r="B206" s="166" t="str">
        <x:v>Giao thông / đi lại</x:v>
      </x:c>
      <x:c r="C206" s="167" t="str">
        <x:v>reschedule</x:v>
      </x:c>
      <x:c r="D206" s="166" t="str">
        <x:v>đổi lịch</x:v>
      </x:c>
      <x:c r="E206" s="166" t="str">
        <x:v>V</x:v>
      </x:c>
      <x:c r="F206" s="166" t="str">
        <x:v>B1</x:v>
      </x:c>
      <x:c r="G206" s="166" t="str">
        <x:v>rearrange; postpone</x:v>
      </x:c>
      <x:c r="H206" s="166" t="str">
        <x:v>reschedule a meeting</x:v>
      </x:c>
      <x:c r="I206" s="166" t="str">
        <x:v>schedule → reschedule</x:v>
      </x:c>
      <x:c r="J206" s="166" t="str">
        <x:v>Part 7 Q191–195</x:v>
      </x:c>
      <x:c r="K206" s="166" t="str">
        <x:v>Rất cao</x:v>
      </x:c>
      <x:c r="L206" s="166" t="str">
        <x:v>Chưa học</x:v>
      </x:c>
    </x:row>
    <x:row r="207">
      <x:c r="A207" s="166" t="str">
        <x:v>S12</x:v>
      </x:c>
      <x:c r="B207" s="166" t="str">
        <x:v>Giao thông / đi lại</x:v>
      </x:c>
      <x:c r="C207" s="167" t="str">
        <x:v>available flight</x:v>
      </x:c>
      <x:c r="D207" s="166" t="str">
        <x:v>chuyến bay còn chỗ</x:v>
      </x:c>
      <x:c r="E207" s="166" t="str">
        <x:v>Cụm</x:v>
      </x:c>
      <x:c r="F207" s="166" t="str">
        <x:v>B1</x:v>
      </x:c>
      <x:c r="G207" s="166" t="str">
        <x:v>open flight</x:v>
      </x:c>
      <x:c r="H207" s="166" t="str">
        <x:v>the next available flight</x:v>
      </x:c>
      <x:c r="I207" s="166" t="str"/>
      <x:c r="J207" s="166" t="str">
        <x:v>Part 7 Q191–195</x:v>
      </x:c>
      <x:c r="K207" s="166" t="str">
        <x:v>Cao</x:v>
      </x:c>
      <x:c r="L207" s="166" t="str">
        <x:v>Chưa học</x:v>
      </x:c>
    </x:row>
  </x:sheetData>
  <x:mergeCells>
    <x:mergeCell ref="A1:L1"/>
    <x:mergeCell ref="A2:L2"/>
  </x:mergeCells>
  <x:conditionalFormatting sqref="L5:L207">
    <x:cfRule type="expression" dxfId="0" priority="1">
      <x:formula>L5="Đã thuộc"</x:formula>
    </x:cfRule>
    <x:cfRule type="expression" dxfId="1" priority="2">
      <x:formula>L5="Đang học"</x:formula>
    </x:cfRule>
  </x:conditionalFormatting>
  <x:dataValidations count="1">
    <x:dataValidation type="list" sqref="L5:L207">
      <x:formula1>"Chưa học,Đang học,Đã thuộc"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1" hidden="0" customWidth="1"/>
    <x:col min="3" max="3" width="35" hidden="0" customWidth="1"/>
    <x:col min="4" max="4" width="26" hidden="0" customWidth="1"/>
    <x:col min="5" max="5" width="43" hidden="0" customWidth="1"/>
    <x:col min="6" max="6" width="27" hidden="0" customWidth="1"/>
    <x:col min="7" max="7" width="9" hidden="0" customWidth="1"/>
    <x:col min="8" max="8" width="13" hidden="0" customWidth="1"/>
    <x:col min="10" max="10" width="15" hidden="0" customWidth="1"/>
    <x:col min="11" max="11" width="28" hidden="0" customWidth="1"/>
    <x:col min="12" max="12" width="24" hidden="0" customWidth="1"/>
    <x:col min="13" max="13" width="38" hidden="0" customWidth="1"/>
  </x:cols>
  <x:sheetData>
    <x:row r="1">
      <x:c r="A1" s="5" t="str">
        <x:v>ETS 2026 – TEST 3 | CẤU TRÚC NGỮ PHÁP + CẤU TRÚC TƯƠNG ĐƯƠNG</x:v>
      </x:c>
      <x:c r="B1" s="5"/>
      <x:c r="C1" s="5"/>
      <x:c r="D1" s="5"/>
      <x:c r="E1" s="5"/>
      <x:c r="F1" s="5"/>
      <x:c r="G1" s="5"/>
      <x:c r="H1" s="5"/>
      <x:c r="J1" s="264" t="str">
        <x:v>CHEAT SHEET – NHÌN NHANH</x:v>
      </x:c>
      <x:c r="K1" s="264"/>
      <x:c r="L1" s="264"/>
      <x:c r="M1" s="264"/>
    </x:row>
    <x:row r="2">
      <x:c r="A2" s="12" t="str">
        <x:v>Các cấu trúc cùng chức năng được xếp cạnh nhau và tô cùng màu. Cột ‘Khác biệt / bẫy’ nhấn mạnh điểm dễ nhầm trong Test 3.</x:v>
      </x:c>
      <x:c r="B2" s="12"/>
      <x:c r="C2" s="12"/>
      <x:c r="D2" s="12"/>
      <x:c r="E2" s="12"/>
      <x:c r="F2" s="12"/>
      <x:c r="G2" s="12"/>
      <x:c r="H2" s="12"/>
    </x:row>
    <x:row r="3">
      <x:c r="J3" s="271" t="str">
        <x:v>Nhóm</x:v>
      </x:c>
      <x:c r="K3" s="271" t="str">
        <x:v>Nhìn thấy</x:v>
      </x:c>
      <x:c r="L3" s="271" t="str">
        <x:v>Nghĩ ngay</x:v>
      </x:c>
      <x:c r="M3" s="271" t="str">
        <x:v>Ghi nhớ</x:v>
      </x:c>
    </x:row>
    <x:row r="4">
      <x:c r="A4" s="22" t="str">
        <x:v>Mã</x:v>
      </x:c>
      <x:c r="B4" s="22" t="str">
        <x:v>Chức năng</x:v>
      </x:c>
      <x:c r="C4" s="22" t="str">
        <x:v>Cấu trúc</x:v>
      </x:c>
      <x:c r="D4" s="22" t="str">
        <x:v>Nghĩa</x:v>
      </x:c>
      <x:c r="E4" s="22" t="str">
        <x:v>Khác biệt / bẫy</x:v>
      </x:c>
      <x:c r="F4" s="22" t="str">
        <x:v>Nguồn</x:v>
      </x:c>
      <x:c r="G4" s="22" t="str">
        <x:v>CEFR ~</x:v>
      </x:c>
      <x:c r="H4" s="22" t="str">
        <x:v>Trạng thái</x:v>
      </x:c>
      <x:c r="J4" s="276" t="str">
        <x:v>Từ loại</x:v>
      </x:c>
      <x:c r="K4" s="276" t="str">
        <x:v>____ + Verb</x:v>
      </x:c>
      <x:c r="L4" s="276" t="str">
        <x:v>Adverb</x:v>
      </x:c>
      <x:c r="M4" s="276" t="str">
        <x:v>abruptly changed / grown significantly</x:v>
      </x:c>
    </x:row>
    <x:row r="5">
      <x:c r="A5" s="140" t="str">
        <x:v>G01</x:v>
      </x:c>
      <x:c r="B5" s="140" t="str">
        <x:v>Từ loại</x:v>
      </x:c>
      <x:c r="C5" s="240" t="str">
        <x:v>despite + N / possessive adjective + N</x:v>
      </x:c>
      <x:c r="D5" s="140" t="str">
        <x:v>mặc dù / bất chấp</x:v>
      </x:c>
      <x:c r="E5" s="140" t="str">
        <x:v>Despite đi với cụm danh từ, không đi trực tiếp với mệnh đề.</x:v>
      </x:c>
      <x:c r="F5" s="140" t="str">
        <x:v>Part 5 Q101/Q125</x:v>
      </x:c>
      <x:c r="G5" s="140" t="str">
        <x:v>B1</x:v>
      </x:c>
      <x:c r="H5" s="140" t="str">
        <x:v>Chưa học</x:v>
      </x:c>
      <x:c r="J5" s="276" t="str">
        <x:v>Từ loại</x:v>
      </x:c>
      <x:c r="K5" s="276" t="str">
        <x:v>Adj + N</x:v>
      </x:c>
      <x:c r="L5" s="276" t="str">
        <x:v>Noun</x:v>
      </x:c>
      <x:c r="M5" s="276" t="str">
        <x:v>productive employees / profitable quarter</x:v>
      </x:c>
    </x:row>
    <x:row r="6">
      <x:c r="A6" s="140" t="str">
        <x:v>G01</x:v>
      </x:c>
      <x:c r="B6" s="140" t="str">
        <x:v>Từ loại</x:v>
      </x:c>
      <x:c r="C6" s="240" t="str">
        <x:v>be + adverb + adjective</x:v>
      </x:c>
      <x:c r="D6" s="140" t="str">
        <x:v>trạng từ bổ nghĩa tính từ</x:v>
      </x:c>
      <x:c r="E6" s="140" t="str">
        <x:v>financially profitable / specifically designed.</x:v>
      </x:c>
      <x:c r="F6" s="140" t="str">
        <x:v>Part 5 Q113/Q117</x:v>
      </x:c>
      <x:c r="G6" s="140" t="str">
        <x:v>B1</x:v>
      </x:c>
      <x:c r="H6" s="140" t="str">
        <x:v>Chưa học</x:v>
      </x:c>
      <x:c r="J6" s="276" t="str">
        <x:v>Từ loại</x:v>
      </x:c>
      <x:c r="K6" s="276" t="str">
        <x:v>Adv + Adj/V-ed</x:v>
      </x:c>
      <x:c r="L6" s="276" t="str">
        <x:v>Adverb</x:v>
      </x:c>
      <x:c r="M6" s="276" t="str">
        <x:v>financially profitable / consistently shown</x:v>
      </x:c>
    </x:row>
    <x:row r="7">
      <x:c r="A7" s="140" t="str">
        <x:v>G01</x:v>
      </x:c>
      <x:c r="B7" s="140" t="str">
        <x:v>Từ loại</x:v>
      </x:c>
      <x:c r="C7" s="240" t="str">
        <x:v>adverb + past participle</x:v>
      </x:c>
      <x:c r="D7" s="140" t="str">
        <x:v>trạng từ bổ nghĩa phân từ</x:v>
      </x:c>
      <x:c r="E7" s="140" t="str">
        <x:v>consistently shown / automatically deposited.</x:v>
      </x:c>
      <x:c r="F7" s="140" t="str">
        <x:v>Part 5 Q120; Part 6 Q132</x:v>
      </x:c>
      <x:c r="G7" s="140" t="str">
        <x:v>B1</x:v>
      </x:c>
      <x:c r="H7" s="140" t="str">
        <x:v>Chưa học</x:v>
      </x:c>
      <x:c r="J7" s="276" t="str">
        <x:v>Bị động</x:v>
      </x:c>
      <x:c r="K7" s="276" t="str">
        <x:v>be promoted ___</x:v>
      </x:c>
      <x:c r="L7" s="276" t="str">
        <x:v>to</x:v>
      </x:c>
      <x:c r="M7" s="276" t="str">
        <x:v>promoted to president</x:v>
      </x:c>
    </x:row>
    <x:row r="8">
      <x:c r="A8" s="140" t="str">
        <x:v>G01</x:v>
      </x:c>
      <x:c r="B8" s="140" t="str">
        <x:v>Từ loại</x:v>
      </x:c>
      <x:c r="C8" s="240" t="str">
        <x:v>so + adverb + that + S + V</x:v>
      </x:c>
      <x:c r="D8" s="140" t="str">
        <x:v>quá ... đến mức ...</x:v>
      </x:c>
      <x:c r="E8" s="140" t="str">
        <x:v>so hastily that he forgot.</x:v>
      </x:c>
      <x:c r="F8" s="140" t="str">
        <x:v>Part 5 Q128</x:v>
      </x:c>
      <x:c r="G8" s="140" t="str">
        <x:v>B1</x:v>
      </x:c>
      <x:c r="H8" s="140" t="str">
        <x:v>Chưa học</x:v>
      </x:c>
      <x:c r="J8" s="276" t="str">
        <x:v>Mệnh đề QH</x:v>
      </x:c>
      <x:c r="K8" s="276" t="str">
        <x:v>person + ___ + V</x:v>
      </x:c>
      <x:c r="L8" s="276" t="str">
        <x:v>who</x:v>
      </x:c>
      <x:c r="M8" s="276" t="str">
        <x:v>members who attended</x:v>
      </x:c>
    </x:row>
    <x:row r="9">
      <x:c r="A9" s="166" t="str">
        <x:v>G02</x:v>
      </x:c>
      <x:c r="B9" s="166" t="str">
        <x:v>Bị động</x:v>
      </x:c>
      <x:c r="C9" s="241" t="str">
        <x:v>be promoted to + position</x:v>
      </x:c>
      <x:c r="D9" s="166" t="str">
        <x:v>được thăng chức lên vị trí</x:v>
      </x:c>
      <x:c r="E9" s="166" t="str">
        <x:v>Promote someone to a role; passive be promoted to.</x:v>
      </x:c>
      <x:c r="F9" s="166" t="str">
        <x:v>Part 5 Q104 / Part 6 Q135–138</x:v>
      </x:c>
      <x:c r="G9" s="166" t="str">
        <x:v>B1</x:v>
      </x:c>
      <x:c r="H9" s="166" t="str">
        <x:v>Chưa học</x:v>
      </x:c>
      <x:c r="J9" s="276" t="str">
        <x:v>Mệnh đề danh từ</x:v>
      </x:c>
      <x:c r="K9" s="276" t="str">
        <x:v>suggest ___ S + V</x:v>
      </x:c>
      <x:c r="L9" s="276" t="str">
        <x:v>that</x:v>
      </x:c>
      <x:c r="M9" s="276" t="str">
        <x:v>results suggest that ...</x:v>
      </x:c>
    </x:row>
    <x:row r="10">
      <x:c r="A10" s="166" t="str">
        <x:v>G02</x:v>
      </x:c>
      <x:c r="B10" s="166" t="str">
        <x:v>Bị động</x:v>
      </x:c>
      <x:c r="C10" s="241" t="str">
        <x:v>be chosen as + N</x:v>
      </x:c>
      <x:c r="D10" s="166" t="str">
        <x:v>được chọn làm</x:v>
      </x:c>
      <x:c r="E10" s="166" t="str">
        <x:v>as + vai trò sau chose/appoint.</x:v>
      </x:c>
      <x:c r="F10" s="166" t="str">
        <x:v>Part 5 Q114</x:v>
      </x:c>
      <x:c r="G10" s="166" t="str">
        <x:v>B1</x:v>
      </x:c>
      <x:c r="H10" s="166" t="str">
        <x:v>Chưa học</x:v>
      </x:c>
      <x:c r="J10" s="276" t="str">
        <x:v>Thời gian</x:v>
      </x:c>
      <x:c r="K10" s="276" t="str">
        <x:v>once + present</x:v>
      </x:c>
      <x:c r="L10" s="276" t="str">
        <x:v>future clause</x:v>
      </x:c>
      <x:c r="M10" s="276" t="str">
        <x:v>once the interns have arrived</x:v>
      </x:c>
    </x:row>
    <x:row r="11">
      <x:c r="A11" s="166" t="str">
        <x:v>G02</x:v>
      </x:c>
      <x:c r="B11" s="166" t="str">
        <x:v>Bị động</x:v>
      </x:c>
      <x:c r="C11" s="241" t="str">
        <x:v>be shown to + V</x:v>
      </x:c>
      <x:c r="D11" s="166" t="str">
        <x:v>được chứng minh là / làm</x:v>
      </x:c>
      <x:c r="E11" s="166" t="str">
        <x:v>Sau shown dùng to-infinitive.</x:v>
      </x:c>
      <x:c r="F11" s="166" t="str">
        <x:v>Part 5 Q120</x:v>
      </x:c>
      <x:c r="G11" s="166" t="str">
        <x:v>B2</x:v>
      </x:c>
      <x:c r="H11" s="166" t="str">
        <x:v>Chưa học</x:v>
      </x:c>
      <x:c r="J11" s="276" t="str">
        <x:v>Deadline</x:v>
      </x:c>
      <x:c r="K11" s="276" t="str">
        <x:v>no later ___ date</x:v>
      </x:c>
      <x:c r="L11" s="276" t="str">
        <x:v>than</x:v>
      </x:c>
      <x:c r="M11" s="276" t="str">
        <x:v>no later than October 20</x:v>
      </x:c>
    </x:row>
    <x:row r="12">
      <x:c r="A12" s="166" t="str">
        <x:v>G02</x:v>
      </x:c>
      <x:c r="B12" s="166" t="str">
        <x:v>Bị động</x:v>
      </x:c>
      <x:c r="C12" s="241" t="str">
        <x:v>be appointed to + organization/position</x:v>
      </x:c>
      <x:c r="D12" s="166" t="str">
        <x:v>được bổ nhiệm vào</x:v>
      </x:c>
      <x:c r="E12" s="166" t="str">
        <x:v>Phân biệt appoint someone as/to.</x:v>
      </x:c>
      <x:c r="F12" s="166" t="str">
        <x:v>Part 5 Q121</x:v>
      </x:c>
      <x:c r="G12" s="166" t="str">
        <x:v>B2</x:v>
      </x:c>
      <x:c r="H12" s="166" t="str">
        <x:v>Chưa học</x:v>
      </x:c>
      <x:c r="J12" s="276" t="str">
        <x:v>Giới từ</x:v>
      </x:c>
      <x:c r="K12" s="276" t="str">
        <x:v>refrain ___ V-ing</x:v>
      </x:c>
      <x:c r="L12" s="276" t="str">
        <x:v>from</x:v>
      </x:c>
      <x:c r="M12" s="276" t="str">
        <x:v>refrain from accessing</x:v>
      </x:c>
    </x:row>
    <x:row r="13">
      <x:c r="A13" s="166" t="str">
        <x:v>G02</x:v>
      </x:c>
      <x:c r="B13" s="166" t="str">
        <x:v>Bị động</x:v>
      </x:c>
      <x:c r="C13" s="241" t="str">
        <x:v>be commissioned to + V</x:v>
      </x:c>
      <x:c r="D13" s="166" t="str">
        <x:v>được thuê / giao nhiệm vụ làm</x:v>
      </x:c>
      <x:c r="E13" s="166" t="str">
        <x:v>Thường dùng với nghệ sĩ, dự án.</x:v>
      </x:c>
      <x:c r="F13" s="166" t="str">
        <x:v>Part 7 Q149–150</x:v>
      </x:c>
      <x:c r="G13" s="166" t="str">
        <x:v>B2</x:v>
      </x:c>
      <x:c r="H13" s="166" t="str">
        <x:v>Chưa học</x:v>
      </x:c>
      <x:c r="J13" s="276" t="str">
        <x:v>Giới từ</x:v>
      </x:c>
      <x:c r="K13" s="276" t="str">
        <x:v>look forward ___ V-ing</x:v>
      </x:c>
      <x:c r="L13" s="276" t="str">
        <x:v>to</x:v>
      </x:c>
      <x:c r="M13" s="276" t="str">
        <x:v>look forward to seeing you</x:v>
      </x:c>
    </x:row>
    <x:row r="14">
      <x:c r="A14" s="144" t="str">
        <x:v>G02</x:v>
      </x:c>
      <x:c r="B14" s="144" t="str">
        <x:v>Bị động</x:v>
      </x:c>
      <x:c r="C14" s="242" t="str">
        <x:v>be backed by + guarantee</x:v>
      </x:c>
      <x:c r="D14" s="144" t="str">
        <x:v>được bảo đảm bởi</x:v>
      </x:c>
      <x:c r="E14" s="144" t="str">
        <x:v>backed by = supported/guaranteed by.</x:v>
      </x:c>
      <x:c r="F14" s="144" t="str">
        <x:v>Part 7 Q155–157</x:v>
      </x:c>
      <x:c r="G14" s="144" t="str">
        <x:v>B2</x:v>
      </x:c>
      <x:c r="H14" s="144" t="str">
        <x:v>Chưa học</x:v>
      </x:c>
      <x:c r="J14" s="276" t="str">
        <x:v>Số lượng</x:v>
      </x:c>
      <x:c r="K14" s="276" t="str">
        <x:v>up ___ number</x:v>
      </x:c>
      <x:c r="L14" s="276" t="str">
        <x:v>to</x:v>
      </x:c>
      <x:c r="M14" s="276" t="str">
        <x:v>up to five files</x:v>
      </x:c>
    </x:row>
    <x:row r="15">
      <x:c r="A15" s="144" t="str">
        <x:v>G03</x:v>
      </x:c>
      <x:c r="B15" s="144" t="str">
        <x:v>So sánh / số lượng</x:v>
      </x:c>
      <x:c r="C15" s="242" t="str">
        <x:v>more + adjective + than</x:v>
      </x:c>
      <x:c r="D15" s="144" t="str">
        <x:v>... hơn ...</x:v>
      </x:c>
      <x:c r="E15" s="144" t="str">
        <x:v>more productive than.</x:v>
      </x:c>
      <x:c r="F15" s="144" t="str">
        <x:v>Part 5 Q105</x:v>
      </x:c>
      <x:c r="G15" s="144" t="str">
        <x:v>B1</x:v>
      </x:c>
      <x:c r="H15" s="144" t="str">
        <x:v>Chưa học</x:v>
      </x:c>
      <x:c r="J15" s="276" t="str">
        <x:v>So sánh</x:v>
      </x:c>
      <x:c r="K15" s="276" t="str">
        <x:v>more + Adj + ___</x:v>
      </x:c>
      <x:c r="L15" s="276" t="str">
        <x:v>than</x:v>
      </x:c>
      <x:c r="M15" s="276" t="str">
        <x:v>more productive than</x:v>
      </x:c>
    </x:row>
    <x:row r="16">
      <x:c r="A16" s="144" t="str">
        <x:v>G03</x:v>
      </x:c>
      <x:c r="B16" s="144" t="str">
        <x:v>So sánh / số lượng</x:v>
      </x:c>
      <x:c r="C16" s="242" t="str">
        <x:v>up to + number</x:v>
      </x:c>
      <x:c r="D16" s="144" t="str">
        <x:v>lên đến</x:v>
      </x:c>
      <x:c r="E16" s="144" t="str">
        <x:v>Giới hạn tối đa, không phải bắt buộc đạt đủ.</x:v>
      </x:c>
      <x:c r="F16" s="144" t="str">
        <x:v>Part 5 Q122</x:v>
      </x:c>
      <x:c r="G16" s="144" t="str">
        <x:v>B1</x:v>
      </x:c>
      <x:c r="H16" s="144" t="str">
        <x:v>Chưa học</x:v>
      </x:c>
      <x:c r="J16" s="276" t="str">
        <x:v>Collocation</x:v>
      </x:c>
      <x:c r="K16" s="276" t="str">
        <x:v>commensurate ___</x:v>
      </x:c>
      <x:c r="L16" s="276" t="str">
        <x:v>with</x:v>
      </x:c>
      <x:c r="M16" s="276" t="str">
        <x:v>salary commensurate with experience</x:v>
      </x:c>
    </x:row>
    <x:row r="17">
      <x:c r="A17" s="144" t="str">
        <x:v>G03</x:v>
      </x:c>
      <x:c r="B17" s="144" t="str">
        <x:v>So sánh / số lượng</x:v>
      </x:c>
      <x:c r="C17" s="242" t="str">
        <x:v>at least + number/time</x:v>
      </x:c>
      <x:c r="D17" s="144" t="str">
        <x:v>ít nhất</x:v>
      </x:c>
      <x:c r="E17" s="144" t="str">
        <x:v>at least two years of experience.</x:v>
      </x:c>
      <x:c r="F17" s="144" t="str">
        <x:v>Part 7 Q164–167</x:v>
      </x:c>
      <x:c r="G17" s="144" t="str">
        <x:v>B1</x:v>
      </x:c>
      <x:c r="H17" s="144" t="str">
        <x:v>Chưa học</x:v>
      </x:c>
      <x:c r="J17" s="276" t="str">
        <x:v>Cụm động từ</x:v>
      </x:c>
      <x:c r="K17" s="276" t="str">
        <x:v>set A ___</x:v>
      </x:c>
      <x:c r="L17" s="276" t="str">
        <x:v>apart</x:v>
      </x:c>
      <x:c r="M17" s="276" t="str">
        <x:v>set the company apart</x:v>
      </x:c>
    </x:row>
    <x:row r="18">
      <x:c r="A18" s="144" t="str">
        <x:v>G03</x:v>
      </x:c>
      <x:c r="B18" s="144" t="str">
        <x:v>So sánh / số lượng</x:v>
      </x:c>
      <x:c r="C18" s="242" t="str">
        <x:v>enough + N + to + V</x:v>
      </x:c>
      <x:c r="D18" s="144" t="str">
        <x:v>đủ ... để ...</x:v>
      </x:c>
      <x:c r="E18" s="144" t="str">
        <x:v>enough funds to begin construction.</x:v>
      </x:c>
      <x:c r="F18" s="144" t="str">
        <x:v>Part 7 Q168–171</x:v>
      </x:c>
      <x:c r="G18" s="144" t="str">
        <x:v>B1</x:v>
      </x:c>
      <x:c r="H18" s="144" t="str">
        <x:v>Chưa học</x:v>
      </x:c>
      <x:c r="J18" s="276" t="str">
        <x:v>Chuyển ý</x:v>
      </x:c>
      <x:c r="K18" s="276" t="str">
        <x:v>___, S + V</x:v>
      </x:c>
      <x:c r="L18" s="276" t="str">
        <x:v>Alternatively</x:v>
      </x:c>
      <x:c r="M18" s="276" t="str">
        <x:v>đưa ra phương án khác</x:v>
      </x:c>
    </x:row>
    <x:row r="19">
      <x:c r="A19" s="144" t="str">
        <x:v>G04</x:v>
      </x:c>
      <x:c r="B19" s="144" t="str">
        <x:v>Mệnh đề quan hệ</x:v>
      </x:c>
      <x:c r="C19" s="242" t="str">
        <x:v>person + who + V</x:v>
      </x:c>
      <x:c r="D19" s="144" t="str">
        <x:v>người mà ...</x:v>
      </x:c>
      <x:c r="E19" s="144" t="str">
        <x:v>who thay cho chủ ngữ chỉ người.</x:v>
      </x:c>
      <x:c r="F19" s="144" t="str">
        <x:v>Part 5 Q116</x:v>
      </x:c>
      <x:c r="G19" s="144" t="str">
        <x:v>B1</x:v>
      </x:c>
      <x:c r="H19" s="144" t="str">
        <x:v>Chưa học</x:v>
      </x:c>
      <x:c r="J19" t="str">
        <x:v>Mục đích</x:v>
      </x:c>
      <x:c r="K19" t="str">
        <x:v>be designed ___ V</x:v>
      </x:c>
      <x:c r="L19" t="str">
        <x:v>to</x:v>
      </x:c>
      <x:c r="M19" t="str">
        <x:v>designed to provide insights</x:v>
      </x:c>
    </x:row>
    <x:row r="20">
      <x:c r="A20" s="142" t="str">
        <x:v>G04</x:v>
      </x:c>
      <x:c r="B20" s="142" t="str">
        <x:v>Mệnh đề danh từ</x:v>
      </x:c>
      <x:c r="C20" s="243" t="str">
        <x:v>suggest that + S + V</x:v>
      </x:c>
      <x:c r="D20" s="142" t="str">
        <x:v>cho thấy / đề xuất rằng</x:v>
      </x:c>
      <x:c r="E20" s="142" t="str">
        <x:v>Sau suggest là mệnh đề, không dùng object + to V.</x:v>
      </x:c>
      <x:c r="F20" s="142" t="str">
        <x:v>Part 5 Q108/Q118</x:v>
      </x:c>
      <x:c r="G20" s="142" t="str">
        <x:v>B2</x:v>
      </x:c>
      <x:c r="H20" s="142" t="str">
        <x:v>Chưa học</x:v>
      </x:c>
      <x:c r="J20" t="str">
        <x:v>Bất chấp</x:v>
      </x:c>
      <x:c r="K20" t="str">
        <x:v>despite + ___</x:v>
      </x:c>
      <x:c r="L20" t="str">
        <x:v>N / noun phrase</x:v>
      </x:c>
      <x:c r="M20" t="str">
        <x:v>despite a decline in revenue</x:v>
      </x:c>
    </x:row>
    <x:row r="21">
      <x:c r="A21" s="142" t="str">
        <x:v>G04</x:v>
      </x:c>
      <x:c r="B21" s="142" t="str">
        <x:v>Mệnh đề danh từ</x:v>
      </x:c>
      <x:c r="C21" s="243" t="str">
        <x:v>what + S + V</x:v>
      </x:c>
      <x:c r="D21" s="142" t="str">
        <x:v>điều mà ...</x:v>
      </x:c>
      <x:c r="E21" s="142" t="str">
        <x:v>what sets your company apart.</x:v>
      </x:c>
      <x:c r="F21" s="142" t="str">
        <x:v>Part 6 Q141</x:v>
      </x:c>
      <x:c r="G21" s="142" t="str">
        <x:v>B2</x:v>
      </x:c>
      <x:c r="H21" s="142" t="str">
        <x:v>Chưa học</x:v>
      </x:c>
    </x:row>
    <x:row r="22">
      <x:c r="A22" s="142" t="str">
        <x:v>G04</x:v>
      </x:c>
      <x:c r="B22" s="142" t="str">
        <x:v>Mệnh đề danh từ</x:v>
      </x:c>
      <x:c r="C22" s="243" t="str">
        <x:v>no matter where + S + V</x:v>
      </x:c>
      <x:c r="D22" s="142" t="str">
        <x:v>dù ở bất cứ đâu</x:v>
      </x:c>
      <x:c r="E22" s="142" t="str">
        <x:v>wherever tương đương no matter where.</x:v>
      </x:c>
      <x:c r="F22" s="142" t="str">
        <x:v>Part 7 Q155–157</x:v>
      </x:c>
      <x:c r="G22" s="142" t="str">
        <x:v>B1+</x:v>
      </x:c>
      <x:c r="H22" s="142" t="str">
        <x:v>Chưa học</x:v>
      </x:c>
    </x:row>
    <x:row r="23">
      <x:c r="A23" s="142" t="str">
        <x:v>G05</x:v>
      </x:c>
      <x:c r="B23" s="142" t="str">
        <x:v>Thời gian</x:v>
      </x:c>
      <x:c r="C23" s="243" t="str">
        <x:v>over the past + period</x:v>
      </x:c>
      <x:c r="D23" s="142" t="str">
        <x:v>trong suốt khoảng thời gian vừa qua</x:v>
      </x:c>
      <x:c r="E23" s="142" t="str">
        <x:v>Thường đi với hiện tại hoàn thành.</x:v>
      </x:c>
      <x:c r="F23" s="142" t="str">
        <x:v>Part 5 Q126</x:v>
      </x:c>
      <x:c r="G23" s="142" t="str">
        <x:v>B1</x:v>
      </x:c>
      <x:c r="H23" s="142" t="str">
        <x:v>Chưa học</x:v>
      </x:c>
    </x:row>
    <x:row r="24">
      <x:c r="A24" s="142" t="str">
        <x:v>G05</x:v>
      </x:c>
      <x:c r="B24" s="142" t="str">
        <x:v>Thời gian</x:v>
      </x:c>
      <x:c r="C24" s="243" t="str">
        <x:v>long before + past clause</x:v>
      </x:c>
      <x:c r="D24" s="142" t="str">
        <x:v>rất lâu trước khi</x:v>
      </x:c>
      <x:c r="E24" s="142" t="str">
        <x:v>Hành động trước dùng past perfect.</x:v>
      </x:c>
      <x:c r="F24" s="142" t="str">
        <x:v>Part 5 Q129</x:v>
      </x:c>
      <x:c r="G24" s="142" t="str">
        <x:v>B2</x:v>
      </x:c>
      <x:c r="H24" s="142" t="str">
        <x:v>Chưa học</x:v>
      </x:c>
    </x:row>
    <x:row r="25">
      <x:c r="A25" s="150" t="str">
        <x:v>G05</x:v>
      </x:c>
      <x:c r="B25" s="150" t="str">
        <x:v>Thời gian</x:v>
      </x:c>
      <x:c r="C25" s="244" t="str">
        <x:v>once + present, future clause</x:v>
      </x:c>
      <x:c r="D25" s="150" t="str">
        <x:v>một khi / khi</x:v>
      </x:c>
      <x:c r="E25" s="150" t="str">
        <x:v>Mệnh đề thời gian không dùng will.</x:v>
      </x:c>
      <x:c r="F25" s="150" t="str">
        <x:v>Part 5 Q130</x:v>
      </x:c>
      <x:c r="G25" s="150" t="str">
        <x:v>B1</x:v>
      </x:c>
      <x:c r="H25" s="150" t="str">
        <x:v>Chưa học</x:v>
      </x:c>
    </x:row>
    <x:row r="26">
      <x:c r="A26" s="150" t="str">
        <x:v>G05</x:v>
      </x:c>
      <x:c r="B26" s="150" t="str">
        <x:v>Thời gian</x:v>
      </x:c>
      <x:c r="C26" s="244" t="str">
        <x:v>no later than + date/time</x:v>
      </x:c>
      <x:c r="D26" s="150" t="str">
        <x:v>không muộn hơn</x:v>
      </x:c>
      <x:c r="E26" s="150" t="str">
        <x:v>Cụm chỉ hạn chót.</x:v>
      </x:c>
      <x:c r="F26" s="150" t="str">
        <x:v>Part 7 Q151–152</x:v>
      </x:c>
      <x:c r="G26" s="150" t="str">
        <x:v>B1</x:v>
      </x:c>
      <x:c r="H26" s="150" t="str">
        <x:v>Chưa học</x:v>
      </x:c>
    </x:row>
    <x:row r="27">
      <x:c r="A27" s="150" t="str">
        <x:v>G05</x:v>
      </x:c>
      <x:c r="B27" s="150" t="str">
        <x:v>Thời gian</x:v>
      </x:c>
      <x:c r="C27" s="244" t="str">
        <x:v>within + period</x:v>
      </x:c>
      <x:c r="D27" s="150" t="str">
        <x:v>trong vòng</x:v>
      </x:c>
      <x:c r="E27" s="150" t="str">
        <x:v>within 24 hours = trước khi hết 24 giờ.</x:v>
      </x:c>
      <x:c r="F27" s="150" t="str">
        <x:v>Part 7 Q155–157</x:v>
      </x:c>
      <x:c r="G27" s="150" t="str">
        <x:v>B1</x:v>
      </x:c>
      <x:c r="H27" s="150" t="str">
        <x:v>Chưa học</x:v>
      </x:c>
    </x:row>
    <x:row r="28">
      <x:c r="A28" s="150" t="str">
        <x:v>G05</x:v>
      </x:c>
      <x:c r="B28" s="150" t="str">
        <x:v>Thời gian</x:v>
      </x:c>
      <x:c r="C28" s="244" t="str">
        <x:v>valid through + date</x:v>
      </x:c>
      <x:c r="D28" s="150" t="str">
        <x:v>có hiệu lực đến hết ngày</x:v>
      </x:c>
      <x:c r="E28" s="150" t="str">
        <x:v>Through thường bao gồm ngày được nêu.</x:v>
      </x:c>
      <x:c r="F28" s="150" t="str">
        <x:v>Part 7 Q147–148</x:v>
      </x:c>
      <x:c r="G28" s="150" t="str">
        <x:v>B1</x:v>
      </x:c>
      <x:c r="H28" s="150" t="str">
        <x:v>Chưa học</x:v>
      </x:c>
    </x:row>
    <x:row r="29">
      <x:c r="A29" s="148" t="str">
        <x:v>G06</x:v>
      </x:c>
      <x:c r="B29" s="148" t="str">
        <x:v>Liên từ / chuyển ý</x:v>
      </x:c>
      <x:c r="C29" s="245" t="str">
        <x:v>While + S + V, S + V</x:v>
      </x:c>
      <x:c r="D29" s="148" t="str">
        <x:v>mặc dù / trong khi</x:v>
      </x:c>
      <x:c r="E29" s="148" t="str">
        <x:v>Ở Q124, While mang nghĩa nhượng bộ.</x:v>
      </x:c>
      <x:c r="F29" s="148" t="str">
        <x:v>Part 5 Q124</x:v>
      </x:c>
      <x:c r="G29" s="148" t="str">
        <x:v>B1</x:v>
      </x:c>
      <x:c r="H29" s="148" t="str">
        <x:v>Chưa học</x:v>
      </x:c>
    </x:row>
    <x:row r="30">
      <x:c r="A30" s="148" t="str">
        <x:v>G06</x:v>
      </x:c>
      <x:c r="B30" s="148" t="str">
        <x:v>Liên từ / chuyển ý</x:v>
      </x:c>
      <x:c r="C30" s="245" t="str">
        <x:v>Alternatively, S + V</x:v>
      </x:c>
      <x:c r="D30" s="148" t="str">
        <x:v>theo phương án khác</x:v>
      </x:c>
      <x:c r="E30" s="148" t="str">
        <x:v>Dùng đưa ra lựa chọn thay thế.</x:v>
      </x:c>
      <x:c r="F30" s="148" t="str">
        <x:v>Part 6 Q133</x:v>
      </x:c>
      <x:c r="G30" s="148" t="str">
        <x:v>B2</x:v>
      </x:c>
      <x:c r="H30" s="148" t="str">
        <x:v>Chưa học</x:v>
      </x:c>
    </x:row>
    <x:row r="31">
      <x:c r="A31" s="148" t="str">
        <x:v>G06</x:v>
      </x:c>
      <x:c r="B31" s="148" t="str">
        <x:v>Liên từ / chuyển ý</x:v>
      </x:c>
      <x:c r="C31" s="245" t="str">
        <x:v>Moreover, S + V</x:v>
      </x:c>
      <x:c r="D31" s="148" t="str">
        <x:v>hơn nữa</x:v>
      </x:c>
      <x:c r="E31" s="148" t="str">
        <x:v>Bổ sung thông tin cùng chiều.</x:v>
      </x:c>
      <x:c r="F31" s="148" t="str">
        <x:v>Part 6 Q135–138</x:v>
      </x:c>
      <x:c r="G31" s="148" t="str">
        <x:v>B2</x:v>
      </x:c>
      <x:c r="H31" s="148" t="str">
        <x:v>Chưa học</x:v>
      </x:c>
    </x:row>
    <x:row r="32">
      <x:c r="A32" s="152" t="str">
        <x:v>G06</x:v>
      </x:c>
      <x:c r="B32" s="152" t="str">
        <x:v>Liên từ / chuyển ý</x:v>
      </x:c>
      <x:c r="C32" s="246" t="str">
        <x:v>on the other hand</x:v>
      </x:c>
      <x:c r="D32" s="152" t="str">
        <x:v>mặt khác</x:v>
      </x:c>
      <x:c r="E32" s="152" t="str">
        <x:v>Đối chiếu hai khả năng.</x:v>
      </x:c>
      <x:c r="F32" s="152" t="str">
        <x:v>Part 6 Q139–142</x:v>
      </x:c>
      <x:c r="G32" s="152" t="str">
        <x:v>B2</x:v>
      </x:c>
      <x:c r="H32" s="152" t="str">
        <x:v>Chưa học</x:v>
      </x:c>
    </x:row>
    <x:row r="33">
      <x:c r="A33" s="152" t="str">
        <x:v>G07</x:v>
      </x:c>
      <x:c r="B33" s="152" t="str">
        <x:v>Động từ nguyên mẫu</x:v>
      </x:c>
      <x:c r="C33" s="246" t="str">
        <x:v>be encouraged to + V</x:v>
      </x:c>
      <x:c r="D33" s="152" t="str">
        <x:v>được khuyến khích làm gì</x:v>
      </x:c>
      <x:c r="E33" s="152" t="str">
        <x:v>Sau encouraged dùng to-infinitive.</x:v>
      </x:c>
      <x:c r="F33" s="152" t="str">
        <x:v>Part 5 Q106</x:v>
      </x:c>
      <x:c r="G33" s="152" t="str">
        <x:v>B1</x:v>
      </x:c>
      <x:c r="H33" s="152" t="str">
        <x:v>Chưa học</x:v>
      </x:c>
    </x:row>
    <x:row r="34">
      <x:c r="A34" s="152" t="str">
        <x:v>G07</x:v>
      </x:c>
      <x:c r="B34" s="152" t="str">
        <x:v>Động từ nguyên mẫu</x:v>
      </x:c>
      <x:c r="C34" s="246" t="str">
        <x:v>be designed to + V</x:v>
      </x:c>
      <x:c r="D34" s="152" t="str">
        <x:v>được thiết kế để</x:v>
      </x:c>
      <x:c r="E34" s="152" t="str">
        <x:v>Mục đích/chức năng của sản phẩm.</x:v>
      </x:c>
      <x:c r="F34" s="152" t="str">
        <x:v>Part 5 Q117</x:v>
      </x:c>
      <x:c r="G34" s="152" t="str">
        <x:v>B1</x:v>
      </x:c>
      <x:c r="H34" s="152" t="str">
        <x:v>Chưa học</x:v>
      </x:c>
    </x:row>
    <x:row r="35">
      <x:c r="A35" s="152" t="str">
        <x:v>G07</x:v>
      </x:c>
      <x:c r="B35" s="152" t="str">
        <x:v>Động từ nguyên mẫu</x:v>
      </x:c>
      <x:c r="C35" s="246" t="str">
        <x:v>allow/enable + object + to V</x:v>
      </x:c>
      <x:c r="D35" s="152" t="str">
        <x:v>cho phép ai làm gì</x:v>
      </x:c>
      <x:c r="E35" s="152" t="str">
        <x:v>enable users to perform operations.</x:v>
      </x:c>
      <x:c r="F35" s="152" t="str">
        <x:v>Part 5 Q122; Part 6 Q144</x:v>
      </x:c>
      <x:c r="G35" s="152" t="str">
        <x:v>B1</x:v>
      </x:c>
      <x:c r="H35" s="152" t="str">
        <x:v>Chưa học</x:v>
      </x:c>
    </x:row>
    <x:row r="36">
      <x:c r="A36" s="154" t="str">
        <x:v>G07</x:v>
      </x:c>
      <x:c r="B36" s="154" t="str">
        <x:v>Động từ nguyên mẫu</x:v>
      </x:c>
      <x:c r="C36" s="247" t="str">
        <x:v>plan/decide to + V</x:v>
      </x:c>
      <x:c r="D36" s="154" t="str">
        <x:v>dự định / quyết định làm gì</x:v>
      </x:c>
      <x:c r="E36" s="154" t="str">
        <x:v>plan to settle / decide to retire.</x:v>
      </x:c>
      <x:c r="F36" s="154" t="str">
        <x:v>Part 7 Q158–160</x:v>
      </x:c>
      <x:c r="G36" s="154" t="str">
        <x:v>B1</x:v>
      </x:c>
      <x:c r="H36" s="154" t="str">
        <x:v>Chưa học</x:v>
      </x:c>
    </x:row>
    <x:row r="37">
      <x:c r="A37" s="154" t="str">
        <x:v>G07</x:v>
      </x:c>
      <x:c r="B37" s="154" t="str">
        <x:v>Động từ nguyên mẫu</x:v>
      </x:c>
      <x:c r="C37" s="247" t="str">
        <x:v>be expected to + V</x:v>
      </x:c>
      <x:c r="D37" s="154" t="str">
        <x:v>được kỳ vọng / yêu cầu làm</x:v>
      </x:c>
      <x:c r="E37" s="154" t="str">
        <x:v>expected to report for rehearsals.</x:v>
      </x:c>
      <x:c r="F37" s="154" t="str">
        <x:v>Part 7 Q196–200</x:v>
      </x:c>
      <x:c r="G37" s="154" t="str">
        <x:v>B1</x:v>
      </x:c>
      <x:c r="H37" s="154" t="str">
        <x:v>Chưa học</x:v>
      </x:c>
    </x:row>
    <x:row r="38">
      <x:c r="A38" s="154" t="str">
        <x:v>G08</x:v>
      </x:c>
      <x:c r="B38" s="154" t="str">
        <x:v>V-ing / giới từ</x:v>
      </x:c>
      <x:c r="C38" s="247" t="str">
        <x:v>refrain from + V-ing</x:v>
      </x:c>
      <x:c r="D38" s="154" t="str">
        <x:v>tránh / kiềm chế làm gì</x:v>
      </x:c>
      <x:c r="E38" s="154" t="str">
        <x:v>from là giới từ nên theo sau là V-ing.</x:v>
      </x:c>
      <x:c r="F38" s="154" t="str">
        <x:v>Part 6 Q143–146</x:v>
      </x:c>
      <x:c r="G38" s="154" t="str">
        <x:v>B2</x:v>
      </x:c>
      <x:c r="H38" s="154" t="str">
        <x:v>Chưa học</x:v>
      </x:c>
    </x:row>
    <x:row r="39">
      <x:c r="A39" s="146" t="str">
        <x:v>G08</x:v>
      </x:c>
      <x:c r="B39" s="146" t="str">
        <x:v>V-ing / giới từ</x:v>
      </x:c>
      <x:c r="C39" s="248" t="str">
        <x:v>look forward to + V-ing</x:v>
      </x:c>
      <x:c r="D39" s="146" t="str">
        <x:v>mong chờ làm gì</x:v>
      </x:c>
      <x:c r="E39" s="146" t="str">
        <x:v>to là giới từ.</x:v>
      </x:c>
      <x:c r="F39" s="146" t="str">
        <x:v>Part 6 Q135–138</x:v>
      </x:c>
      <x:c r="G39" s="146" t="str">
        <x:v>B1</x:v>
      </x:c>
      <x:c r="H39" s="146" t="str">
        <x:v>Chưa học</x:v>
      </x:c>
    </x:row>
    <x:row r="40">
      <x:c r="A40" s="146" t="str">
        <x:v>G08</x:v>
      </x:c>
      <x:c r="B40" s="146" t="str">
        <x:v>V-ing / giới từ</x:v>
      </x:c>
      <x:c r="C40" s="248" t="str">
        <x:v>Would you mind + V-ing?</x:v>
      </x:c>
      <x:c r="D40" s="146" t="str">
        <x:v>bạn có phiền ... không?</x:v>
      </x:c>
      <x:c r="E40" s="146" t="str">
        <x:v>Không dùng to V sau mind.</x:v>
      </x:c>
      <x:c r="F40" s="146" t="str">
        <x:v>Part 7 Q161–163</x:v>
      </x:c>
      <x:c r="G40" s="146" t="str">
        <x:v>B1</x:v>
      </x:c>
      <x:c r="H40" s="146" t="str">
        <x:v>Chưa học</x:v>
      </x:c>
    </x:row>
    <x:row r="41">
      <x:c r="A41" s="146" t="str">
        <x:v>G08</x:v>
      </x:c>
      <x:c r="B41" s="146" t="str">
        <x:v>V-ing / giới từ</x:v>
      </x:c>
      <x:c r="C41" s="248" t="str">
        <x:v>by + V-ing</x:v>
      </x:c>
      <x:c r="D41" s="146" t="str">
        <x:v>bằng cách làm gì</x:v>
      </x:c>
      <x:c r="E41" s="146" t="str">
        <x:v>work from anywhere / improve by doing.</x:v>
      </x:c>
      <x:c r="F41" s="146" t="str">
        <x:v>Part 7 xuyên suốt</x:v>
      </x:c>
      <x:c r="G41" s="146" t="str">
        <x:v>B1</x:v>
      </x:c>
      <x:c r="H41" s="146" t="str">
        <x:v>Chưa học</x:v>
      </x:c>
    </x:row>
    <x:row r="42">
      <x:c r="A42" s="146" t="str">
        <x:v>G09</x:v>
      </x:c>
      <x:c r="B42" s="146" t="str">
        <x:v>Cụm động từ</x:v>
      </x:c>
      <x:c r="C42" s="248" t="str">
        <x:v>set A apart</x:v>
      </x:c>
      <x:c r="D42" s="146" t="str">
        <x:v>làm A khác biệt / nổi bật</x:v>
      </x:c>
      <x:c r="E42" s="146" t="str">
        <x:v>A đứng giữa set và apart.</x:v>
      </x:c>
      <x:c r="F42" s="146" t="str">
        <x:v>Part 6 Q139–142</x:v>
      </x:c>
      <x:c r="G42" s="146" t="str">
        <x:v>B2</x:v>
      </x:c>
      <x:c r="H42" s="146" t="str">
        <x:v>Chưa học</x:v>
      </x:c>
    </x:row>
    <x:row r="43">
      <x:c r="A43" s="249" t="str">
        <x:v>G09</x:v>
      </x:c>
      <x:c r="B43" s="249" t="str">
        <x:v>Cụm động từ</x:v>
      </x:c>
      <x:c r="C43" s="250" t="str">
        <x:v>move forward with + N</x:v>
      </x:c>
      <x:c r="D43" s="249" t="str">
        <x:v>tiếp tục triển khai</x:v>
      </x:c>
      <x:c r="E43" s="249" t="str">
        <x:v>move forward with an expansion plan.</x:v>
      </x:c>
      <x:c r="F43" s="249" t="str">
        <x:v>Part 5 Q125</x:v>
      </x:c>
      <x:c r="G43" s="249" t="str">
        <x:v>B2</x:v>
      </x:c>
      <x:c r="H43" s="249" t="str">
        <x:v>Chưa học</x:v>
      </x:c>
    </x:row>
    <x:row r="44">
      <x:c r="A44" s="249" t="str">
        <x:v>G09</x:v>
      </x:c>
      <x:c r="B44" s="249" t="str">
        <x:v>Cụm động từ</x:v>
      </x:c>
      <x:c r="C44" s="250" t="str">
        <x:v>catch up (on/with)</x:v>
      </x:c>
      <x:c r="D44" s="249" t="str">
        <x:v>bắt kịp</x:v>
      </x:c>
      <x:c r="E44" s="249" t="str">
        <x:v>catch up after a backlog.</x:v>
      </x:c>
      <x:c r="F44" s="249" t="str">
        <x:v>Part 7 Q176–180</x:v>
      </x:c>
      <x:c r="G44" s="249" t="str">
        <x:v>B1</x:v>
      </x:c>
      <x:c r="H44" s="249" t="str">
        <x:v>Chưa học</x:v>
      </x:c>
    </x:row>
    <x:row r="45">
      <x:c r="A45" s="249" t="str">
        <x:v>G09</x:v>
      </x:c>
      <x:c r="B45" s="249" t="str">
        <x:v>Cụm động từ</x:v>
      </x:c>
      <x:c r="C45" s="250" t="str">
        <x:v>make the most of + N</x:v>
      </x:c>
      <x:c r="D45" s="249" t="str">
        <x:v>tận dụng tối đa</x:v>
      </x:c>
      <x:c r="E45" s="249" t="str">
        <x:v>make the most of screen time.</x:v>
      </x:c>
      <x:c r="F45" s="249" t="str">
        <x:v>Part 7 Q155–157</x:v>
      </x:c>
      <x:c r="G45" s="249" t="str">
        <x:v>B1</x:v>
      </x:c>
      <x:c r="H45" s="249" t="str">
        <x:v>Chưa học</x:v>
      </x:c>
    </x:row>
    <x:row r="46">
      <x:c r="A46" s="249" t="str">
        <x:v>G10</x:v>
      </x:c>
      <x:c r="B46" s="249" t="str">
        <x:v>Business collocations</x:v>
      </x:c>
      <x:c r="C46" s="250" t="str">
        <x:v>in response to + N</x:v>
      </x:c>
      <x:c r="D46" s="249" t="str">
        <x:v>để đáp lại / ứng phó với</x:v>
      </x:c>
      <x:c r="E46" s="249" t="str">
        <x:v>develop a plan in response to cuts.</x:v>
      </x:c>
      <x:c r="F46" s="249" t="str">
        <x:v>Part 5 Q119</x:v>
      </x:c>
      <x:c r="G46" s="249" t="str">
        <x:v>B2</x:v>
      </x:c>
      <x:c r="H46" s="249" t="str">
        <x:v>Chưa học</x:v>
      </x:c>
    </x:row>
    <x:row r="47">
      <x:c r="A47" s="249" t="str">
        <x:v>G10</x:v>
      </x:c>
      <x:c r="B47" s="249" t="str">
        <x:v>Business collocations</x:v>
      </x:c>
      <x:c r="C47" s="250" t="str">
        <x:v>salary is commensurate with + N</x:v>
      </x:c>
      <x:c r="D47" s="249" t="str">
        <x:v>lương tương xứng với</x:v>
      </x:c>
      <x:c r="E47" s="249" t="str">
        <x:v>commensurate đi với with.</x:v>
      </x:c>
      <x:c r="F47" s="249" t="str">
        <x:v>Part 7 Q164–167</x:v>
      </x:c>
      <x:c r="G47" s="249" t="str">
        <x:v>C1</x:v>
      </x:c>
      <x:c r="H47" s="249" t="str">
        <x:v>Chưa học</x:v>
      </x:c>
    </x:row>
  </x:sheetData>
  <x:mergeCells>
    <x:mergeCell ref="A1:H1"/>
    <x:mergeCell ref="A2:H2"/>
    <x:mergeCell ref="J1:M1"/>
  </x:mergeCells>
  <x:conditionalFormatting sqref="H5:H47">
    <x:cfRule type="expression" dxfId="2" priority="1">
      <x:formula>H5="Đã thuộc"</x:formula>
    </x:cfRule>
    <x:cfRule type="expression" dxfId="3" priority="2">
      <x:formula>H5="Đang học"</x:formula>
    </x:cfRule>
  </x:conditionalFormatting>
  <x:dataValidations count="1">
    <x:dataValidation type="list" sqref="H5:H47">
      <x:formula1>"Chưa học,Đang học,Đã thuộc"</x:formula1>
    </x:dataValidation>
  </x:dataValidations>
  <x:pageMargins left="0.7" right="0.7" top="0.75" bottom="0.75" header="0.3" footer="0.3"/>
</x:worksheet>
</file>